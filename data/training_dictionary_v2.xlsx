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 README" sheetId="1" state="visible" r:id="rId3"/>
    <sheet name="分类 Categories" sheetId="2" state="visible" r:id="rId4"/>
    <sheet name="动作库 Exercises" sheetId="3" state="visible" r:id="rId5"/>
    <sheet name="训练组合 Workouts" sheetId="4" state="visible" r:id="rId6"/>
    <sheet name="周计划 Plan" sheetId="5" state="visible" r:id="rId7"/>
    <sheet name="记录 Log" sheetId="6" state="visible" r:id="rId8"/>
    <sheet name="居家器材 Home gear" sheetId="7" state="visible" r:id="rId9"/>
    <sheet name="原始记录 Original" sheetId="8" state="visible" r:id="rId10"/>
  </sheets>
  <definedNames>
    <definedName function="false" hidden="true" localSheetId="2" name="_xlnm._FilterDatabase" vbProcedure="false">'动作库 Exercises'!$A$1:$M$120</definedName>
    <definedName function="false" hidden="true" localSheetId="3" name="_xlnm._FilterDatabase" vbProcedure="false">'训练组合 Workouts'!$A$1:$K$88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<sst xmlns="http://schemas.openxmlformats.org/spreadsheetml/2006/main" count="2552" uniqueCount="1330">
  <si>
    <r>
      <rPr>
        <b val="true"/>
        <sz val="12"/>
        <rFont val="Noto Sans CJK SC"/>
        <family val="2"/>
      </rPr>
      <t xml:space="preserve">训练字典 </t>
    </r>
    <r>
      <rPr>
        <b val="true"/>
        <sz val="12"/>
        <rFont val="Arial"/>
        <family val="0"/>
        <charset val="1"/>
      </rPr>
      <t xml:space="preserve">v2 — </t>
    </r>
    <r>
      <rPr>
        <b val="true"/>
        <sz val="12"/>
        <rFont val="Noto Sans CJK SC"/>
        <family val="2"/>
      </rPr>
      <t xml:space="preserve">说明</t>
    </r>
  </si>
  <si>
    <t xml:space="preserve">工作表</t>
  </si>
  <si>
    <r>
      <rPr>
        <sz val="10"/>
        <rFont val="Noto Sans CJK SC"/>
        <family val="2"/>
      </rPr>
      <t xml:space="preserve">动作库 </t>
    </r>
    <r>
      <rPr>
        <sz val="10"/>
        <rFont val="Arial"/>
        <family val="0"/>
        <charset val="1"/>
      </rPr>
      <t xml:space="preserve">Exercises</t>
    </r>
    <r>
      <rPr>
        <sz val="10"/>
        <rFont val="Noto Sans CJK SC"/>
        <family val="2"/>
      </rPr>
      <t xml:space="preserve">：每个动作一行（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、中英文标准名、分类、器材、能否在家、要点、历史重量）。计划和记录都用动作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</si>
  <si>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分类 </t>
    </r>
    <r>
      <rPr>
        <sz val="10"/>
        <rFont val="Arial"/>
        <family val="0"/>
        <charset val="1"/>
      </rPr>
      <t xml:space="preserve">Categories</t>
    </r>
    <r>
      <rPr>
        <sz val="10"/>
        <rFont val="Noto Sans CJK SC"/>
        <family val="2"/>
      </rPr>
      <t xml:space="preserve">：按动作模式分类，并标注大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小肌群，便于轮转。</t>
    </r>
  </si>
  <si>
    <r>
      <rPr>
        <sz val="10"/>
        <rFont val="Noto Sans CJK SC"/>
        <family val="2"/>
      </rPr>
      <t xml:space="preserve">训练组合 </t>
    </r>
    <r>
      <rPr>
        <sz val="10"/>
        <rFont val="Arial"/>
        <family val="0"/>
        <charset val="1"/>
      </rPr>
      <t xml:space="preserve">Workouts</t>
    </r>
    <r>
      <rPr>
        <sz val="10"/>
        <rFont val="Noto Sans CJK SC"/>
        <family val="2"/>
      </rPr>
      <t xml:space="preserve">：原</t>
    </r>
    <r>
      <rPr>
        <sz val="10"/>
        <rFont val="Arial"/>
        <family val="0"/>
        <charset val="1"/>
      </rPr>
      <t xml:space="preserve">81</t>
    </r>
    <r>
      <rPr>
        <sz val="10"/>
        <rFont val="Noto Sans CJK SC"/>
        <family val="2"/>
      </rPr>
      <t xml:space="preserve">条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现任教练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条（</t>
    </r>
    <r>
      <rPr>
        <sz val="10"/>
        <rFont val="Arial"/>
        <family val="0"/>
        <charset val="1"/>
      </rPr>
      <t xml:space="preserve">C1–C6</t>
    </r>
    <r>
      <rPr>
        <sz val="10"/>
        <rFont val="Noto Sans CJK SC"/>
        <family val="2"/>
      </rPr>
      <t xml:space="preserve">），逐条规范重写为中英文，并拆成动作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</si>
  <si>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周计划 </t>
    </r>
    <r>
      <rPr>
        <sz val="10"/>
        <rFont val="Arial"/>
        <family val="0"/>
        <charset val="1"/>
      </rPr>
      <t xml:space="preserve">Plan</t>
    </r>
    <r>
      <rPr>
        <sz val="10"/>
        <rFont val="Noto Sans CJK SC"/>
        <family val="2"/>
      </rPr>
      <t xml:space="preserve">：每周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次健身房（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分钟）</t>
    </r>
    <r>
      <rPr>
        <sz val="10"/>
        <rFont val="Arial"/>
        <family val="0"/>
        <charset val="1"/>
      </rPr>
      <t xml:space="preserve">+ 1</t>
    </r>
    <r>
      <rPr>
        <sz val="10"/>
        <rFont val="Noto Sans CJK SC"/>
        <family val="2"/>
      </rPr>
      <t xml:space="preserve">次居家（</t>
    </r>
    <r>
      <rPr>
        <sz val="10"/>
        <rFont val="Arial"/>
        <family val="0"/>
        <charset val="1"/>
      </rPr>
      <t xml:space="preserve">40–45</t>
    </r>
    <r>
      <rPr>
        <sz val="10"/>
        <rFont val="Noto Sans CJK SC"/>
        <family val="2"/>
      </rPr>
      <t xml:space="preserve">分钟）的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周轮转模板。</t>
    </r>
  </si>
  <si>
    <r>
      <rPr>
        <sz val="10"/>
        <rFont val="Noto Sans CJK SC"/>
        <family val="2"/>
      </rPr>
      <t xml:space="preserve">居家器材 </t>
    </r>
    <r>
      <rPr>
        <sz val="10"/>
        <rFont val="Arial"/>
        <family val="0"/>
        <charset val="1"/>
      </rPr>
      <t xml:space="preserve">Home gear</t>
    </r>
    <r>
      <rPr>
        <sz val="10"/>
        <rFont val="Noto Sans CJK SC"/>
        <family val="2"/>
      </rPr>
      <t xml:space="preserve">：家里的器材及上限；动作库里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可在家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和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居家用法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替代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按此填写。</t>
    </r>
  </si>
  <si>
    <r>
      <rPr>
        <sz val="10"/>
        <rFont val="Noto Sans CJK SC"/>
        <family val="2"/>
      </rPr>
      <t xml:space="preserve">记录 </t>
    </r>
    <r>
      <rPr>
        <sz val="10"/>
        <rFont val="Arial"/>
        <family val="0"/>
        <charset val="1"/>
      </rPr>
      <t xml:space="preserve">Log</t>
    </r>
    <r>
      <rPr>
        <sz val="10"/>
        <rFont val="Noto Sans CJK SC"/>
        <family val="2"/>
      </rPr>
      <t xml:space="preserve">：每次训练逐组记录；输入动作</t>
    </r>
    <r>
      <rPr>
        <sz val="10"/>
        <rFont val="Arial"/>
        <family val="0"/>
        <charset val="1"/>
      </rPr>
      <t xml:space="preserve">ID</t>
    </r>
    <r>
      <rPr>
        <sz val="10"/>
        <rFont val="Noto Sans CJK SC"/>
        <family val="2"/>
      </rPr>
      <t xml:space="preserve">自动带出名称。</t>
    </r>
  </si>
  <si>
    <r>
      <rPr>
        <sz val="10"/>
        <rFont val="Noto Sans CJK SC"/>
        <family val="2"/>
      </rPr>
      <t xml:space="preserve">原始记录 </t>
    </r>
    <r>
      <rPr>
        <sz val="10"/>
        <rFont val="Arial"/>
        <family val="0"/>
        <charset val="1"/>
      </rPr>
      <t xml:space="preserve">Original</t>
    </r>
    <r>
      <rPr>
        <sz val="10"/>
        <rFont val="Noto Sans CJK SC"/>
        <family val="2"/>
      </rPr>
      <t xml:space="preserve">：原表原文，未改动。</t>
    </r>
  </si>
  <si>
    <r>
      <rPr>
        <sz val="10"/>
        <rFont val="Noto Sans CJK SC"/>
        <family val="2"/>
      </rPr>
      <t xml:space="preserve">黄色底色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我对原描述的理解不确定，请你确认或修改（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待确认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列写明了原因）。</t>
    </r>
  </si>
  <si>
    <r>
      <rPr>
        <sz val="10"/>
        <rFont val="Noto Sans CJK SC"/>
        <family val="2"/>
      </rPr>
      <t xml:space="preserve">单位：</t>
    </r>
    <r>
      <rPr>
        <sz val="10"/>
        <rFont val="Arial"/>
        <family val="0"/>
        <charset val="1"/>
      </rPr>
      <t xml:space="preserve">lb</t>
    </r>
    <r>
      <rPr>
        <sz val="10"/>
        <rFont val="Noto Sans CJK SC"/>
        <family val="2"/>
      </rPr>
      <t xml:space="preserve">（磅）。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档位</t>
    </r>
    <r>
      <rPr>
        <sz val="10"/>
        <rFont val="Arial"/>
        <family val="0"/>
        <charset val="1"/>
      </rPr>
      <t xml:space="preserve">10/12"</t>
    </r>
    <r>
      <rPr>
        <sz val="10"/>
        <rFont val="Noto Sans CJK SC"/>
        <family val="2"/>
      </rPr>
      <t xml:space="preserve">指辅助引体向上器械的辅助档位（数字越大越省力，按你原记录推测）。</t>
    </r>
  </si>
  <si>
    <r>
      <rPr>
        <sz val="10"/>
        <rFont val="Arial"/>
        <family val="0"/>
        <charset val="1"/>
      </rPr>
      <t xml:space="preserve">"/</t>
    </r>
    <r>
      <rPr>
        <sz val="10"/>
        <rFont val="Noto Sans CJK SC"/>
        <family val="2"/>
      </rPr>
      <t xml:space="preserve">侧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表示每侧各做该次数。</t>
    </r>
  </si>
  <si>
    <r>
      <rPr>
        <b val="true"/>
        <sz val="10"/>
        <color rgb="FFFFFFFF"/>
        <rFont val="Noto Sans CJK SC"/>
        <family val="2"/>
      </rPr>
      <t xml:space="preserve">代码 </t>
    </r>
    <r>
      <rPr>
        <b val="true"/>
        <sz val="10"/>
        <color rgb="FFFFFFFF"/>
        <rFont val="Arial"/>
        <family val="0"/>
        <charset val="1"/>
      </rPr>
      <t xml:space="preserve">Code</t>
    </r>
  </si>
  <si>
    <t xml:space="preserve">分类（中）</t>
  </si>
  <si>
    <t xml:space="preserve">Category (EN)</t>
  </si>
  <si>
    <r>
      <rPr>
        <b val="true"/>
        <sz val="10"/>
        <color rgb="FFFFFFFF"/>
        <rFont val="Noto Sans CJK SC"/>
        <family val="2"/>
      </rPr>
      <t xml:space="preserve">肌群大小 </t>
    </r>
    <r>
      <rPr>
        <b val="true"/>
        <sz val="10"/>
        <color rgb="FFFFFFFF"/>
        <rFont val="Arial"/>
        <family val="0"/>
        <charset val="1"/>
      </rPr>
      <t xml:space="preserve">Size</t>
    </r>
  </si>
  <si>
    <r>
      <rPr>
        <b val="true"/>
        <sz val="10"/>
        <color rgb="FFFFFFFF"/>
        <rFont val="Noto Sans CJK SC"/>
        <family val="2"/>
      </rPr>
      <t xml:space="preserve">轮转归属 </t>
    </r>
    <r>
      <rPr>
        <b val="true"/>
        <sz val="10"/>
        <color rgb="FFFFFFFF"/>
        <rFont val="Arial"/>
        <family val="0"/>
        <charset val="1"/>
      </rPr>
      <t xml:space="preserve">Rotation group</t>
    </r>
  </si>
  <si>
    <r>
      <rPr>
        <b val="true"/>
        <sz val="10"/>
        <color rgb="FFFFFFFF"/>
        <rFont val="Noto Sans CJK SC"/>
        <family val="2"/>
      </rPr>
      <t xml:space="preserve">动作数 </t>
    </r>
    <r>
      <rPr>
        <b val="true"/>
        <sz val="10"/>
        <color rgb="FFFFFFFF"/>
        <rFont val="Arial"/>
        <family val="0"/>
        <charset val="1"/>
      </rPr>
      <t xml:space="preserve"># Exercises</t>
    </r>
  </si>
  <si>
    <t xml:space="preserve">WU</t>
  </si>
  <si>
    <r>
      <rPr>
        <sz val="10"/>
        <rFont val="Noto Sans CJK SC"/>
        <family val="2"/>
      </rPr>
      <t xml:space="preserve">热身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有氧</t>
    </r>
  </si>
  <si>
    <t xml:space="preserve">Warm-up &amp; Cardio</t>
  </si>
  <si>
    <t xml:space="preserve">—</t>
  </si>
  <si>
    <t xml:space="preserve">SQ</t>
  </si>
  <si>
    <r>
      <rPr>
        <sz val="10"/>
        <rFont val="Noto Sans CJK SC"/>
        <family val="2"/>
      </rPr>
      <t xml:space="preserve">下肢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蹲（膝主导）</t>
    </r>
  </si>
  <si>
    <t xml:space="preserve">Lower · Squat (knee-dominant)</t>
  </si>
  <si>
    <t xml:space="preserve">大</t>
  </si>
  <si>
    <t xml:space="preserve">腿</t>
  </si>
  <si>
    <t xml:space="preserve">HG</t>
  </si>
  <si>
    <r>
      <rPr>
        <sz val="10"/>
        <rFont val="Noto Sans CJK SC"/>
        <family val="2"/>
      </rPr>
      <t xml:space="preserve">下肢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髋铰链（腿后侧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臀）</t>
    </r>
  </si>
  <si>
    <t xml:space="preserve">Lower · Hinge (hamstrings &amp; glutes)</t>
  </si>
  <si>
    <t xml:space="preserve">SL</t>
  </si>
  <si>
    <r>
      <rPr>
        <sz val="10"/>
        <rFont val="Noto Sans CJK SC"/>
        <family val="2"/>
      </rPr>
      <t xml:space="preserve">下肢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单腿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侧向</t>
    </r>
  </si>
  <si>
    <t xml:space="preserve">Lower · Single-leg &amp; Lateral</t>
  </si>
  <si>
    <t xml:space="preserve">HPU</t>
  </si>
  <si>
    <r>
      <rPr>
        <sz val="10"/>
        <rFont val="Noto Sans CJK SC"/>
        <family val="2"/>
      </rPr>
      <t xml:space="preserve">上肢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水平推（胸）</t>
    </r>
  </si>
  <si>
    <t xml:space="preserve">Upper · Horizontal Push (chest)</t>
  </si>
  <si>
    <t xml:space="preserve">胸</t>
  </si>
  <si>
    <t xml:space="preserve">VPL</t>
  </si>
  <si>
    <r>
      <rPr>
        <sz val="10"/>
        <rFont val="Noto Sans CJK SC"/>
        <family val="2"/>
      </rPr>
      <t xml:space="preserve">上肢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垂直拉（背阔）</t>
    </r>
  </si>
  <si>
    <t xml:space="preserve">Upper · Vertical Pull (lats)</t>
  </si>
  <si>
    <t xml:space="preserve">背</t>
  </si>
  <si>
    <t xml:space="preserve">HPL</t>
  </si>
  <si>
    <r>
      <rPr>
        <sz val="10"/>
        <rFont val="Noto Sans CJK SC"/>
        <family val="2"/>
      </rPr>
      <t xml:space="preserve">上肢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水平拉（中背）</t>
    </r>
  </si>
  <si>
    <t xml:space="preserve">Upper · Horizontal Pull (mid-back)</t>
  </si>
  <si>
    <t xml:space="preserve">VPU</t>
  </si>
  <si>
    <r>
      <rPr>
        <sz val="10"/>
        <rFont val="Noto Sans CJK SC"/>
        <family val="2"/>
      </rPr>
      <t xml:space="preserve">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推举</t>
    </r>
  </si>
  <si>
    <t xml:space="preserve">Shoulders · Overhead Press</t>
  </si>
  <si>
    <t xml:space="preserve">小</t>
  </si>
  <si>
    <t xml:space="preserve">肩</t>
  </si>
  <si>
    <t xml:space="preserve">SH</t>
  </si>
  <si>
    <r>
      <rPr>
        <sz val="10"/>
        <rFont val="Noto Sans CJK SC"/>
        <family val="2"/>
      </rPr>
      <t xml:space="preserve">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孤立（前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后束）</t>
    </r>
  </si>
  <si>
    <t xml:space="preserve">Shoulders · Isolation</t>
  </si>
  <si>
    <t xml:space="preserve">BI</t>
  </si>
  <si>
    <r>
      <rPr>
        <sz val="10"/>
        <rFont val="Noto Sans CJK SC"/>
        <family val="2"/>
      </rPr>
      <t xml:space="preserve">手臂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二头</t>
    </r>
  </si>
  <si>
    <t xml:space="preserve">Arms · Biceps</t>
  </si>
  <si>
    <t xml:space="preserve">二头</t>
  </si>
  <si>
    <t xml:space="preserve">TR</t>
  </si>
  <si>
    <r>
      <rPr>
        <sz val="10"/>
        <rFont val="Noto Sans CJK SC"/>
        <family val="2"/>
      </rPr>
      <t xml:space="preserve">手臂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三头</t>
    </r>
  </si>
  <si>
    <t xml:space="preserve">Arms · Triceps</t>
  </si>
  <si>
    <t xml:space="preserve">三头</t>
  </si>
  <si>
    <t xml:space="preserve">CO</t>
  </si>
  <si>
    <t xml:space="preserve">核心</t>
  </si>
  <si>
    <t xml:space="preserve">Core</t>
  </si>
  <si>
    <t xml:space="preserve">PW</t>
  </si>
  <si>
    <r>
      <rPr>
        <sz val="10"/>
        <rFont val="Noto Sans CJK SC"/>
        <family val="2"/>
      </rPr>
      <t xml:space="preserve">爆发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代谢（全身）</t>
    </r>
  </si>
  <si>
    <t xml:space="preserve">Power &amp; Conditioning</t>
  </si>
  <si>
    <t xml:space="preserve">全身</t>
  </si>
  <si>
    <t xml:space="preserve">BL</t>
  </si>
  <si>
    <r>
      <rPr>
        <sz val="10"/>
        <rFont val="Noto Sans CJK SC"/>
        <family val="2"/>
      </rPr>
      <t xml:space="preserve">平衡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稳定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灵活</t>
    </r>
  </si>
  <si>
    <t xml:space="preserve">Balance, Stability &amp; Mobility</t>
  </si>
  <si>
    <r>
      <rPr>
        <sz val="10"/>
        <rFont val="Noto Sans CJK SC"/>
        <family val="2"/>
      </rPr>
      <t xml:space="preserve">大肌群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腿（</t>
    </r>
    <r>
      <rPr>
        <sz val="10"/>
        <rFont val="Arial"/>
        <family val="0"/>
        <charset val="1"/>
      </rPr>
      <t xml:space="preserve">SQ/HG/SL</t>
    </r>
    <r>
      <rPr>
        <sz val="10"/>
        <rFont val="Noto Sans CJK SC"/>
        <family val="2"/>
      </rPr>
      <t xml:space="preserve">）、胸（</t>
    </r>
    <r>
      <rPr>
        <sz val="10"/>
        <rFont val="Arial"/>
        <family val="0"/>
        <charset val="1"/>
      </rPr>
      <t xml:space="preserve">HPU</t>
    </r>
    <r>
      <rPr>
        <sz val="10"/>
        <rFont val="Noto Sans CJK SC"/>
        <family val="2"/>
      </rPr>
      <t xml:space="preserve">）、背（</t>
    </r>
    <r>
      <rPr>
        <sz val="10"/>
        <rFont val="Arial"/>
        <family val="0"/>
        <charset val="1"/>
      </rPr>
      <t xml:space="preserve">VPL/HPL</t>
    </r>
    <r>
      <rPr>
        <sz val="10"/>
        <rFont val="Noto Sans CJK SC"/>
        <family val="2"/>
      </rPr>
      <t xml:space="preserve">）；小肌群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肩（</t>
    </r>
    <r>
      <rPr>
        <sz val="10"/>
        <rFont val="Arial"/>
        <family val="0"/>
        <charset val="1"/>
      </rPr>
      <t xml:space="preserve">VPU/SH</t>
    </r>
    <r>
      <rPr>
        <sz val="10"/>
        <rFont val="Noto Sans CJK SC"/>
        <family val="2"/>
      </rPr>
      <t xml:space="preserve">）、二头（</t>
    </r>
    <r>
      <rPr>
        <sz val="10"/>
        <rFont val="Arial"/>
        <family val="0"/>
        <charset val="1"/>
      </rPr>
      <t xml:space="preserve">BI</t>
    </r>
    <r>
      <rPr>
        <sz val="10"/>
        <rFont val="Noto Sans CJK SC"/>
        <family val="2"/>
      </rPr>
      <t xml:space="preserve">）、三头（</t>
    </r>
    <r>
      <rPr>
        <sz val="10"/>
        <rFont val="Arial"/>
        <family val="0"/>
        <charset val="1"/>
      </rPr>
      <t xml:space="preserve">TR</t>
    </r>
    <r>
      <rPr>
        <sz val="10"/>
        <rFont val="Noto Sans CJK SC"/>
        <family val="2"/>
      </rPr>
      <t xml:space="preserve">）、核心（</t>
    </r>
    <r>
      <rPr>
        <sz val="10"/>
        <rFont val="Arial"/>
        <family val="0"/>
        <charset val="1"/>
      </rPr>
      <t xml:space="preserve">CO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PW/BL </t>
    </r>
    <r>
      <rPr>
        <sz val="10"/>
        <rFont val="Noto Sans CJK SC"/>
        <family val="2"/>
      </rPr>
      <t xml:space="preserve">为全身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辅助类，适合热身、收尾或居家循环。</t>
    </r>
  </si>
  <si>
    <t xml:space="preserve">ID</t>
  </si>
  <si>
    <t xml:space="preserve">中文名</t>
  </si>
  <si>
    <t xml:space="preserve">分类代码</t>
  </si>
  <si>
    <t xml:space="preserve">分类</t>
  </si>
  <si>
    <t xml:space="preserve">肌群大小</t>
  </si>
  <si>
    <t xml:space="preserve">English name</t>
  </si>
  <si>
    <r>
      <rPr>
        <b val="true"/>
        <sz val="10"/>
        <color rgb="FFFFFFFF"/>
        <rFont val="Noto Sans CJK SC"/>
        <family val="2"/>
      </rPr>
      <t xml:space="preserve">器材 </t>
    </r>
    <r>
      <rPr>
        <b val="true"/>
        <sz val="10"/>
        <color rgb="FFFFFFFF"/>
        <rFont val="Arial"/>
        <family val="0"/>
        <charset val="1"/>
      </rPr>
      <t xml:space="preserve">Equipment</t>
    </r>
  </si>
  <si>
    <r>
      <rPr>
        <b val="true"/>
        <sz val="10"/>
        <color rgb="FFFFFFFF"/>
        <rFont val="Noto Sans CJK SC"/>
        <family val="2"/>
      </rPr>
      <t xml:space="preserve">可在家 </t>
    </r>
    <r>
      <rPr>
        <b val="true"/>
        <sz val="10"/>
        <color rgb="FFFFFFFF"/>
        <rFont val="Arial"/>
        <family val="0"/>
        <charset val="1"/>
      </rPr>
      <t xml:space="preserve">Home?</t>
    </r>
  </si>
  <si>
    <r>
      <rPr>
        <b val="true"/>
        <sz val="10"/>
        <color rgb="FFFFFFFF"/>
        <rFont val="Noto Sans CJK SC"/>
        <family val="2"/>
      </rPr>
      <t xml:space="preserve">居家用法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替代</t>
    </r>
  </si>
  <si>
    <t xml:space="preserve">主要肌群</t>
  </si>
  <si>
    <t xml:space="preserve">动作要点</t>
  </si>
  <si>
    <r>
      <rPr>
        <b val="true"/>
        <sz val="10"/>
        <color rgb="FFFFFFFF"/>
        <rFont val="Noto Sans CJK SC"/>
        <family val="2"/>
      </rPr>
      <t xml:space="preserve">历史记录（来源</t>
    </r>
    <r>
      <rPr>
        <b val="true"/>
        <sz val="10"/>
        <color rgb="FFFFFFFF"/>
        <rFont val="Arial"/>
        <family val="0"/>
        <charset val="1"/>
      </rPr>
      <t xml:space="preserve">#</t>
    </r>
    <r>
      <rPr>
        <b val="true"/>
        <sz val="10"/>
        <color rgb="FFFFFFFF"/>
        <rFont val="Noto Sans CJK SC"/>
        <family val="2"/>
      </rPr>
      <t xml:space="preserve">组合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Noto Sans CJK SC"/>
        <family val="2"/>
      </rPr>
      <t xml:space="preserve">重量</t>
    </r>
    <r>
      <rPr>
        <b val="true"/>
        <sz val="10"/>
        <color rgb="FFFFFFFF"/>
        <rFont val="Arial"/>
        <family val="0"/>
        <charset val="1"/>
      </rPr>
      <t xml:space="preserve">×</t>
    </r>
    <r>
      <rPr>
        <b val="true"/>
        <sz val="10"/>
        <color rgb="FFFFFFFF"/>
        <rFont val="Noto Sans CJK SC"/>
        <family val="2"/>
      </rPr>
      <t xml:space="preserve">次数）</t>
    </r>
  </si>
  <si>
    <t xml:space="preserve">待确认</t>
  </si>
  <si>
    <t xml:space="preserve">WU01</t>
  </si>
  <si>
    <t xml:space="preserve">跑步机坡度间歇</t>
  </si>
  <si>
    <t xml:space="preserve">Treadmill incline intervals</t>
  </si>
  <si>
    <t xml:space="preserve">跑步机</t>
  </si>
  <si>
    <t xml:space="preserve">N</t>
  </si>
  <si>
    <r>
      <rPr>
        <sz val="10"/>
        <rFont val="Noto Sans CJK SC"/>
        <family val="2"/>
      </rPr>
      <t xml:space="preserve">居家可用 </t>
    </r>
    <r>
      <rPr>
        <sz val="10"/>
        <rFont val="Arial"/>
        <family val="0"/>
        <charset val="1"/>
      </rPr>
      <t xml:space="preserve">PW14 </t>
    </r>
    <r>
      <rPr>
        <sz val="10"/>
        <rFont val="Noto Sans CJK SC"/>
        <family val="2"/>
      </rPr>
      <t xml:space="preserve">星跳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原地高抬腿 </t>
    </r>
    <r>
      <rPr>
        <sz val="10"/>
        <rFont val="Arial"/>
        <family val="0"/>
        <charset val="1"/>
      </rPr>
      <t xml:space="preserve">3–5</t>
    </r>
    <r>
      <rPr>
        <sz val="10"/>
        <rFont val="Noto Sans CJK SC"/>
        <family val="2"/>
      </rPr>
      <t xml:space="preserve">分钟代替</t>
    </r>
  </si>
  <si>
    <t xml:space="preserve">心肺、小腿、臀</t>
  </si>
  <si>
    <r>
      <rPr>
        <sz val="10"/>
        <rFont val="Noto Sans CJK SC"/>
        <family val="2"/>
      </rPr>
      <t xml:space="preserve">坡度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；速度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跑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速度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走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分钟为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轮</t>
    </r>
  </si>
  <si>
    <r>
      <rPr>
        <sz val="10"/>
        <rFont val="Arial"/>
        <family val="0"/>
        <charset val="1"/>
      </rPr>
      <t xml:space="preserve">#21 </t>
    </r>
    <r>
      <rPr>
        <sz val="10"/>
        <rFont val="Noto Sans CJK SC"/>
        <family val="2"/>
      </rPr>
      <t xml:space="preserve">坡度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：速度</t>
    </r>
    <r>
      <rPr>
        <sz val="10"/>
        <rFont val="Arial"/>
        <family val="0"/>
        <charset val="1"/>
      </rPr>
      <t xml:space="preserve">5 × 1</t>
    </r>
    <r>
      <rPr>
        <sz val="10"/>
        <rFont val="Noto Sans CJK SC"/>
        <family val="2"/>
      </rPr>
      <t xml:space="preserve">分钟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速度</t>
    </r>
    <r>
      <rPr>
        <sz val="10"/>
        <rFont val="Arial"/>
        <family val="0"/>
        <charset val="1"/>
      </rPr>
      <t xml:space="preserve">2 × 1</t>
    </r>
    <r>
      <rPr>
        <sz val="10"/>
        <rFont val="Noto Sans CJK SC"/>
        <family val="2"/>
      </rPr>
      <t xml:space="preserve">分钟</t>
    </r>
  </si>
  <si>
    <t xml:space="preserve">WU02</t>
  </si>
  <si>
    <t xml:space="preserve">划船机</t>
  </si>
  <si>
    <t xml:space="preserve">Rowing machine (erg)</t>
  </si>
  <si>
    <t xml:space="preserve">同上</t>
  </si>
  <si>
    <t xml:space="preserve">全身、背、心肺</t>
  </si>
  <si>
    <t xml:space="preserve">蹬腿→后仰→拉手，回程反序；背保持直</t>
  </si>
  <si>
    <r>
      <rPr>
        <sz val="10"/>
        <rFont val="Arial"/>
        <family val="0"/>
        <charset val="1"/>
      </rPr>
      <t xml:space="preserve">#3 260 m
#44 1</t>
    </r>
    <r>
      <rPr>
        <sz val="10"/>
        <rFont val="Noto Sans CJK SC"/>
        <family val="2"/>
      </rPr>
      <t xml:space="preserve">分钟 </t>
    </r>
    <r>
      <rPr>
        <sz val="10"/>
        <rFont val="Arial"/>
        <family val="0"/>
        <charset val="1"/>
      </rPr>
      <t xml:space="preserve">250 m
#48 250 m</t>
    </r>
    <r>
      <rPr>
        <sz val="10"/>
        <rFont val="Noto Sans CJK SC"/>
        <family val="2"/>
      </rPr>
      <t xml:space="preserve">（约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分钟）</t>
    </r>
  </si>
  <si>
    <t xml:space="preserve">SQ01</t>
  </si>
  <si>
    <t xml:space="preserve">杠铃后蹲</t>
  </si>
  <si>
    <t xml:space="preserve">Barbell back squat</t>
  </si>
  <si>
    <r>
      <rPr>
        <sz val="10"/>
        <rFont val="Noto Sans CJK SC"/>
        <family val="2"/>
      </rPr>
      <t xml:space="preserve">杠铃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深蹲架</t>
    </r>
  </si>
  <si>
    <t xml:space="preserve">Y</t>
  </si>
  <si>
    <r>
      <rPr>
        <sz val="10"/>
        <rFont val="Noto Sans CJK SC"/>
        <family val="2"/>
      </rPr>
      <t xml:space="preserve">杠铃片≤</t>
    </r>
    <r>
      <rPr>
        <sz val="10"/>
        <rFont val="Arial"/>
        <family val="0"/>
        <charset val="1"/>
      </rPr>
      <t xml:space="preserve">90 lb + </t>
    </r>
    <r>
      <rPr>
        <sz val="10"/>
        <rFont val="Noto Sans CJK SC"/>
        <family val="2"/>
      </rPr>
      <t xml:space="preserve">杆；无深蹲架需自己翻上肩，重量受限，可改前蹲</t>
    </r>
  </si>
  <si>
    <t xml:space="preserve">股四头、臀、核心</t>
  </si>
  <si>
    <r>
      <rPr>
        <sz val="10"/>
        <rFont val="Noto Sans CJK SC"/>
        <family val="2"/>
      </rPr>
      <t xml:space="preserve">杠铃压斜方肌，挺胸收腹，蹲至大腿≥平行；可用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秒下放节奏</t>
    </r>
  </si>
  <si>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每侧</t>
    </r>
    <r>
      <rPr>
        <sz val="10"/>
        <rFont val="Arial"/>
        <family val="0"/>
        <charset val="1"/>
      </rPr>
      <t xml:space="preserve">70 lb
#9 </t>
    </r>
    <r>
      <rPr>
        <sz val="10"/>
        <rFont val="Noto Sans CJK SC"/>
        <family val="2"/>
      </rPr>
      <t xml:space="preserve">每侧</t>
    </r>
    <r>
      <rPr>
        <sz val="10"/>
        <rFont val="Arial"/>
        <family val="0"/>
        <charset val="1"/>
      </rPr>
      <t xml:space="preserve">40 lb</t>
    </r>
    <r>
      <rPr>
        <sz val="10"/>
        <rFont val="Noto Sans CJK SC"/>
        <family val="2"/>
      </rPr>
      <t xml:space="preserve">（总≈</t>
    </r>
    <r>
      <rPr>
        <sz val="10"/>
        <rFont val="Arial"/>
        <family val="0"/>
        <charset val="1"/>
      </rPr>
      <t xml:space="preserve">125 lb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秒下放
</t>
    </r>
    <r>
      <rPr>
        <sz val="10"/>
        <rFont val="Arial"/>
        <family val="0"/>
        <charset val="1"/>
      </rPr>
      <t xml:space="preserve">#30 </t>
    </r>
    <r>
      <rPr>
        <sz val="10"/>
        <rFont val="Noto Sans CJK SC"/>
        <family val="2"/>
      </rPr>
      <t xml:space="preserve">每侧</t>
    </r>
    <r>
      <rPr>
        <sz val="10"/>
        <rFont val="Arial"/>
        <family val="0"/>
        <charset val="1"/>
      </rPr>
      <t xml:space="preserve">45 lb</t>
    </r>
    <r>
      <rPr>
        <sz val="10"/>
        <rFont val="Noto Sans CJK SC"/>
        <family val="2"/>
      </rPr>
      <t xml:space="preserve">（总</t>
    </r>
    <r>
      <rPr>
        <sz val="10"/>
        <rFont val="Arial"/>
        <family val="0"/>
        <charset val="1"/>
      </rPr>
      <t xml:space="preserve">135 lb</t>
    </r>
    <r>
      <rPr>
        <sz val="10"/>
        <rFont val="Noto Sans CJK SC"/>
        <family val="2"/>
      </rPr>
      <t xml:space="preserve">）</t>
    </r>
  </si>
  <si>
    <t xml:space="preserve">SQ02</t>
  </si>
  <si>
    <t xml:space="preserve">沙袋上肘前蹲</t>
  </si>
  <si>
    <t xml:space="preserve">Sandbag clean to front squat</t>
  </si>
  <si>
    <t xml:space="preserve">沙袋</t>
  </si>
  <si>
    <t xml:space="preserve">无沙袋→用杠铃翻至胸前做前蹲</t>
  </si>
  <si>
    <t xml:space="preserve">股四头、臀、上背</t>
  </si>
  <si>
    <t xml:space="preserve">沙袋从地面提至胸前，肘部抬高抱住，直背前蹲</t>
  </si>
  <si>
    <t xml:space="preserve">#44 60 lb × 10</t>
  </si>
  <si>
    <t xml:space="preserve">SQ03</t>
  </si>
  <si>
    <t xml:space="preserve">高脚杯深蹲</t>
  </si>
  <si>
    <t xml:space="preserve">Goblet squat (KB/DB)</t>
  </si>
  <si>
    <r>
      <rPr>
        <sz val="10"/>
        <rFont val="Noto Sans CJK SC"/>
        <family val="2"/>
      </rPr>
      <t xml:space="preserve">壶铃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哑铃</t>
    </r>
  </si>
  <si>
    <r>
      <rPr>
        <sz val="10"/>
        <rFont val="Noto Sans CJK SC"/>
        <family val="2"/>
      </rPr>
      <t xml:space="preserve">用单只哑铃（≤</t>
    </r>
    <r>
      <rPr>
        <sz val="10"/>
        <rFont val="Arial"/>
        <family val="0"/>
        <charset val="1"/>
      </rPr>
      <t xml:space="preserve">45 lb</t>
    </r>
    <r>
      <rPr>
        <sz val="10"/>
        <rFont val="Noto Sans CJK SC"/>
        <family val="2"/>
      </rPr>
      <t xml:space="preserve">）竖握</t>
    </r>
  </si>
  <si>
    <t xml:space="preserve">股四头、臀</t>
  </si>
  <si>
    <r>
      <rPr>
        <sz val="10"/>
        <rFont val="Noto Sans CJK SC"/>
        <family val="2"/>
      </rPr>
      <t xml:space="preserve">双手捧壶铃于胸前，肘在膝内侧，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秒下蹲</t>
    </r>
  </si>
  <si>
    <r>
      <rPr>
        <sz val="10"/>
        <rFont val="Arial"/>
        <family val="0"/>
        <charset val="1"/>
      </rPr>
      <t xml:space="preserve">#56 35 lb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秒下蹲 </t>
    </r>
    <r>
      <rPr>
        <sz val="10"/>
        <rFont val="Arial"/>
        <family val="0"/>
        <charset val="1"/>
      </rPr>
      <t xml:space="preserve">× 10
#68 30 lb × 15
#81 35 lb × 10
#81 15 lb + </t>
    </r>
    <r>
      <rPr>
        <sz val="10"/>
        <rFont val="Noto Sans CJK SC"/>
        <family val="2"/>
      </rPr>
      <t xml:space="preserve">起身直臂前平举 </t>
    </r>
    <r>
      <rPr>
        <sz val="10"/>
        <rFont val="Arial"/>
        <family val="0"/>
        <charset val="1"/>
      </rPr>
      <t xml:space="preserve">× 10</t>
    </r>
  </si>
  <si>
    <t xml:space="preserve">SQ04</t>
  </si>
  <si>
    <t xml:space="preserve">相扑（马步）深蹲</t>
  </si>
  <si>
    <t xml:space="preserve">Sumo squat (KB or bodyweight)</t>
  </si>
  <si>
    <r>
      <rPr>
        <sz val="10"/>
        <rFont val="Noto Sans CJK SC"/>
        <family val="2"/>
      </rPr>
      <t xml:space="preserve">壶铃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自重</t>
    </r>
  </si>
  <si>
    <t xml:space="preserve">用单只哑铃</t>
  </si>
  <si>
    <t xml:space="preserve">股四头、内收肌、臀</t>
  </si>
  <si>
    <t xml:space="preserve">宽站距脚尖外八，壶铃垂于两腿间，蹲到底起身</t>
  </si>
  <si>
    <r>
      <rPr>
        <sz val="10"/>
        <rFont val="Arial"/>
        <family val="0"/>
        <charset val="1"/>
      </rPr>
      <t xml:space="preserve">#31 25 lb × 10
#80 </t>
    </r>
    <r>
      <rPr>
        <sz val="10"/>
        <rFont val="Noto Sans CJK SC"/>
        <family val="2"/>
      </rPr>
      <t xml:space="preserve">自重 </t>
    </r>
    <r>
      <rPr>
        <sz val="10"/>
        <rFont val="Arial"/>
        <family val="0"/>
        <charset val="1"/>
      </rPr>
      <t xml:space="preserve">× 10</t>
    </r>
  </si>
  <si>
    <t xml:space="preserve">SQ05</t>
  </si>
  <si>
    <r>
      <rPr>
        <b val="true"/>
        <sz val="10"/>
        <rFont val="Noto Sans CJK SC"/>
        <family val="2"/>
      </rPr>
      <t xml:space="preserve">深蹲机（哈克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史密斯）</t>
    </r>
  </si>
  <si>
    <t xml:space="preserve">Squat machine (hack / Smith)</t>
  </si>
  <si>
    <t xml:space="preserve">器械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</si>
  <si>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SQ01 </t>
    </r>
    <r>
      <rPr>
        <sz val="10"/>
        <rFont val="Noto Sans CJK SC"/>
        <family val="2"/>
      </rPr>
      <t xml:space="preserve">杠铃深蹲</t>
    </r>
  </si>
  <si>
    <t xml:space="preserve">背贴靠垫，膝盖与脚尖同向</t>
  </si>
  <si>
    <r>
      <rPr>
        <sz val="10"/>
        <rFont val="Arial"/>
        <family val="0"/>
        <charset val="1"/>
      </rPr>
      <t xml:space="preserve">#26 </t>
    </r>
    <r>
      <rPr>
        <sz val="10"/>
        <rFont val="Noto Sans CJK SC"/>
        <family val="2"/>
      </rPr>
      <t xml:space="preserve">每侧</t>
    </r>
    <r>
      <rPr>
        <sz val="10"/>
        <rFont val="Arial"/>
        <family val="0"/>
        <charset val="1"/>
      </rPr>
      <t xml:space="preserve">90 lb × 10</t>
    </r>
  </si>
  <si>
    <t xml:space="preserve">SQ06</t>
  </si>
  <si>
    <t xml:space="preserve">腿举</t>
  </si>
  <si>
    <t xml:space="preserve">Leg press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</si>
  <si>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SL01 </t>
    </r>
    <r>
      <rPr>
        <sz val="10"/>
        <rFont val="Noto Sans CJK SC"/>
        <family val="2"/>
      </rPr>
      <t xml:space="preserve">保加利亚分腿蹲（单腿负荷更高）</t>
    </r>
  </si>
  <si>
    <r>
      <rPr>
        <sz val="10"/>
        <rFont val="Noto Sans CJK SC"/>
        <family val="2"/>
      </rPr>
      <t xml:space="preserve">两种脚位：脚尖朝前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脚尖外八；下放至膝约</t>
    </r>
    <r>
      <rPr>
        <sz val="10"/>
        <rFont val="Arial"/>
        <family val="0"/>
        <charset val="1"/>
      </rPr>
      <t xml:space="preserve">90°</t>
    </r>
    <r>
      <rPr>
        <sz val="10"/>
        <rFont val="Noto Sans CJK SC"/>
        <family val="2"/>
      </rPr>
      <t xml:space="preserve">，不锁死膝盖</t>
    </r>
  </si>
  <si>
    <r>
      <rPr>
        <sz val="10"/>
        <rFont val="Arial"/>
        <family val="0"/>
        <charset val="1"/>
      </rPr>
      <t xml:space="preserve">#C1 4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×10 @180/270/360 lb</t>
    </r>
    <r>
      <rPr>
        <sz val="10"/>
        <rFont val="Noto Sans CJK SC"/>
        <family val="2"/>
      </rPr>
      <t xml:space="preserve">；脚尖朝前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外八</t>
    </r>
  </si>
  <si>
    <t xml:space="preserve">SQ07</t>
  </si>
  <si>
    <t xml:space="preserve">腿举等长保持</t>
  </si>
  <si>
    <t xml:space="preserve">Leg press isometric hold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</si>
  <si>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SQ12 </t>
    </r>
    <r>
      <rPr>
        <sz val="10"/>
        <rFont val="Noto Sans CJK SC"/>
        <family val="2"/>
      </rPr>
      <t xml:space="preserve">靠墙静蹲（可抱哑铃）</t>
    </r>
  </si>
  <si>
    <r>
      <rPr>
        <sz val="10"/>
        <rFont val="Noto Sans CJK SC"/>
        <family val="2"/>
      </rPr>
      <t xml:space="preserve">推起后保持半屈膝静止（</t>
    </r>
    <r>
      <rPr>
        <sz val="10"/>
        <rFont val="Arial"/>
        <family val="0"/>
        <charset val="1"/>
      </rPr>
      <t xml:space="preserve">1–2</t>
    </r>
    <r>
      <rPr>
        <sz val="10"/>
        <rFont val="Noto Sans CJK SC"/>
        <family val="2"/>
      </rPr>
      <t xml:space="preserve">分钟）</t>
    </r>
  </si>
  <si>
    <r>
      <rPr>
        <sz val="10"/>
        <rFont val="Arial"/>
        <family val="0"/>
        <charset val="1"/>
      </rPr>
      <t xml:space="preserve">#10 160 lb </t>
    </r>
    <r>
      <rPr>
        <sz val="10"/>
        <rFont val="Noto Sans CJK SC"/>
        <family val="2"/>
      </rPr>
      <t xml:space="preserve">保持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
</t>
    </r>
    <r>
      <rPr>
        <sz val="10"/>
        <rFont val="Arial"/>
        <family val="0"/>
        <charset val="1"/>
      </rPr>
      <t xml:space="preserve">#37 180 lb </t>
    </r>
    <r>
      <rPr>
        <sz val="10"/>
        <rFont val="Noto Sans CJK SC"/>
        <family val="2"/>
      </rPr>
      <t xml:space="preserve">保持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分钟
</t>
    </r>
    <r>
      <rPr>
        <sz val="10"/>
        <rFont val="Arial"/>
        <family val="0"/>
        <charset val="1"/>
      </rPr>
      <t xml:space="preserve">#69 140 lb </t>
    </r>
    <r>
      <rPr>
        <sz val="10"/>
        <rFont val="Noto Sans CJK SC"/>
        <family val="2"/>
      </rPr>
      <t xml:space="preserve">保持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</t>
    </r>
  </si>
  <si>
    <t xml:space="preserve">SQ08</t>
  </si>
  <si>
    <t xml:space="preserve">腿屈伸</t>
  </si>
  <si>
    <t xml:space="preserve">Leg extension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</si>
  <si>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SL01 </t>
    </r>
    <r>
      <rPr>
        <sz val="10"/>
        <rFont val="Noto Sans CJK SC"/>
        <family val="2"/>
      </rPr>
      <t xml:space="preserve">保加利亚分腿蹲 </t>
    </r>
    <r>
      <rPr>
        <sz val="10"/>
        <rFont val="Arial"/>
        <family val="0"/>
        <charset val="1"/>
      </rPr>
      <t xml:space="preserve">/ SQ03 </t>
    </r>
    <r>
      <rPr>
        <sz val="10"/>
        <rFont val="Noto Sans CJK SC"/>
        <family val="2"/>
      </rPr>
      <t xml:space="preserve">高脚杯深蹲</t>
    </r>
  </si>
  <si>
    <t xml:space="preserve">股四头</t>
  </si>
  <si>
    <r>
      <rPr>
        <sz val="10"/>
        <rFont val="Noto Sans CJK SC"/>
        <family val="2"/>
      </rPr>
      <t xml:space="preserve">脚尖朝前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外八两种；可做重</t>
    </r>
    <r>
      <rPr>
        <sz val="10"/>
        <rFont val="Arial"/>
        <family val="0"/>
        <charset val="1"/>
      </rPr>
      <t xml:space="preserve">×5→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×10→</t>
    </r>
    <r>
      <rPr>
        <sz val="10"/>
        <rFont val="Noto Sans CJK SC"/>
        <family val="2"/>
      </rPr>
      <t xml:space="preserve">轻</t>
    </r>
    <r>
      <rPr>
        <sz val="10"/>
        <rFont val="Arial"/>
        <family val="0"/>
        <charset val="1"/>
      </rPr>
      <t xml:space="preserve">×15</t>
    </r>
    <r>
      <rPr>
        <sz val="10"/>
        <rFont val="Noto Sans CJK SC"/>
        <family val="2"/>
      </rPr>
      <t xml:space="preserve">递减</t>
    </r>
  </si>
  <si>
    <r>
      <rPr>
        <sz val="10"/>
        <rFont val="Arial"/>
        <family val="0"/>
        <charset val="1"/>
      </rPr>
      <t xml:space="preserve">#10 </t>
    </r>
    <r>
      <rPr>
        <sz val="10"/>
        <rFont val="Noto Sans CJK SC"/>
        <family val="2"/>
      </rPr>
      <t xml:space="preserve">单腿 </t>
    </r>
    <r>
      <rPr>
        <sz val="10"/>
        <rFont val="Arial"/>
        <family val="0"/>
        <charset val="1"/>
      </rPr>
      <t xml:space="preserve">20 lb × 12/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#22 60 lb × 15
#35 60 lb × 25
#C1 </t>
    </r>
    <r>
      <rPr>
        <sz val="10"/>
        <rFont val="Noto Sans CJK SC"/>
        <family val="2"/>
      </rPr>
      <t xml:space="preserve">重</t>
    </r>
    <r>
      <rPr>
        <sz val="10"/>
        <rFont val="Arial"/>
        <family val="0"/>
        <charset val="1"/>
      </rPr>
      <t xml:space="preserve">×5→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×10→</t>
    </r>
    <r>
      <rPr>
        <sz val="10"/>
        <rFont val="Noto Sans CJK SC"/>
        <family val="2"/>
      </rPr>
      <t xml:space="preserve">轻</t>
    </r>
    <r>
      <rPr>
        <sz val="10"/>
        <rFont val="Arial"/>
        <family val="0"/>
        <charset val="1"/>
      </rPr>
      <t xml:space="preserve">×15</t>
    </r>
    <r>
      <rPr>
        <sz val="10"/>
        <rFont val="Noto Sans CJK SC"/>
        <family val="2"/>
      </rPr>
      <t xml:space="preserve">；脚尖朝前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外八</t>
    </r>
  </si>
  <si>
    <t xml:space="preserve">SQ09</t>
  </si>
  <si>
    <t xml:space="preserve">坐球深蹲</t>
  </si>
  <si>
    <t xml:space="preserve">Squat to med ball (box squat)</t>
  </si>
  <si>
    <t xml:space="preserve">药球</t>
  </si>
  <si>
    <t xml:space="preserve">无药球→蹲坐训练凳</t>
  </si>
  <si>
    <t xml:space="preserve">药球放身后，蹲至臀部轻触球后快速起立</t>
  </si>
  <si>
    <r>
      <rPr>
        <sz val="10"/>
        <rFont val="Arial"/>
        <family val="0"/>
        <charset val="1"/>
      </rPr>
      <t xml:space="preserve">#5 18 lb</t>
    </r>
    <r>
      <rPr>
        <sz val="10"/>
        <rFont val="Noto Sans CJK SC"/>
        <family val="2"/>
      </rPr>
      <t xml:space="preserve">球 </t>
    </r>
    <r>
      <rPr>
        <sz val="10"/>
        <rFont val="Arial"/>
        <family val="0"/>
        <charset val="1"/>
      </rPr>
      <t xml:space="preserve">× 50</t>
    </r>
    <r>
      <rPr>
        <sz val="10"/>
        <rFont val="Noto Sans CJK SC"/>
        <family val="2"/>
      </rPr>
      <t xml:space="preserve">（快速）</t>
    </r>
  </si>
  <si>
    <t xml:space="preserve">SQ10</t>
  </si>
  <si>
    <t xml:space="preserve">徒手深蹲</t>
  </si>
  <si>
    <t xml:space="preserve">Air squat</t>
  </si>
  <si>
    <t xml:space="preserve">自重</t>
  </si>
  <si>
    <t xml:space="preserve">快速节奏，全幅度</t>
  </si>
  <si>
    <r>
      <rPr>
        <sz val="10"/>
        <rFont val="Arial"/>
        <family val="0"/>
        <charset val="1"/>
      </rPr>
      <t xml:space="preserve">#5 × 25</t>
    </r>
    <r>
      <rPr>
        <sz val="10"/>
        <rFont val="Noto Sans CJK SC"/>
        <family val="2"/>
      </rPr>
      <t xml:space="preserve">（快速）</t>
    </r>
  </si>
  <si>
    <t xml:space="preserve">SQ11</t>
  </si>
  <si>
    <t xml:space="preserve">过头沙袋深蹲</t>
  </si>
  <si>
    <t xml:space="preserve">Overhead sandbag squat</t>
  </si>
  <si>
    <t xml:space="preserve">无沙袋→杠铃或单只哑铃过头</t>
  </si>
  <si>
    <t xml:space="preserve">股四头、肩、核心</t>
  </si>
  <si>
    <t xml:space="preserve">沙袋举过头锁肘，宽站距深蹲</t>
  </si>
  <si>
    <t xml:space="preserve">#14 × 10</t>
  </si>
  <si>
    <t xml:space="preserve">SQ12</t>
  </si>
  <si>
    <r>
      <rPr>
        <b val="true"/>
        <sz val="10"/>
        <rFont val="Noto Sans CJK SC"/>
        <family val="2"/>
      </rPr>
      <t xml:space="preserve">靠墙静蹲（夹球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举杆）</t>
    </r>
  </si>
  <si>
    <t xml:space="preserve">Wall sit with ball squeeze &amp; overhead bar</t>
  </si>
  <si>
    <r>
      <rPr>
        <sz val="10"/>
        <rFont val="Noto Sans CJK SC"/>
        <family val="2"/>
      </rPr>
      <t xml:space="preserve">药球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短杆</t>
    </r>
  </si>
  <si>
    <t xml:space="preserve">无药球→膝间夹瑜伽砖或枕头；举杠铃杆</t>
  </si>
  <si>
    <t xml:space="preserve">股四头、内收肌、肩</t>
  </si>
  <si>
    <t xml:space="preserve">背贴墙马步，膝间夹球，双手直臂上举横杆</t>
  </si>
  <si>
    <r>
      <rPr>
        <sz val="10"/>
        <rFont val="Arial"/>
        <family val="0"/>
        <charset val="1"/>
      </rPr>
      <t xml:space="preserve">#32 </t>
    </r>
    <r>
      <rPr>
        <sz val="10"/>
        <rFont val="Noto Sans CJK SC"/>
        <family val="2"/>
      </rPr>
      <t xml:space="preserve">膝夹球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直臂举杆</t>
    </r>
  </si>
  <si>
    <t xml:space="preserve">HG01</t>
  </si>
  <si>
    <r>
      <rPr>
        <b val="true"/>
        <sz val="10"/>
        <rFont val="Noto Sans CJK SC"/>
        <family val="2"/>
      </rPr>
      <t xml:space="preserve">腿弯举（卧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坐）</t>
    </r>
  </si>
  <si>
    <t xml:space="preserve">Leg curl (lying or seated)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</si>
  <si>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TRX </t>
    </r>
    <r>
      <rPr>
        <sz val="10"/>
        <rFont val="Noto Sans CJK SC"/>
        <family val="2"/>
      </rPr>
      <t xml:space="preserve">腿弯举（仰卧，脚跟挂悬挂带）</t>
    </r>
    <r>
      <rPr>
        <sz val="10"/>
        <rFont val="Arial"/>
        <family val="0"/>
        <charset val="1"/>
      </rPr>
      <t xml:space="preserve">/ HG02 </t>
    </r>
    <r>
      <rPr>
        <sz val="10"/>
        <rFont val="Noto Sans CJK SC"/>
        <family val="2"/>
      </rPr>
      <t xml:space="preserve">罗马尼亚硬拉</t>
    </r>
  </si>
  <si>
    <t xml:space="preserve">腘绳肌（腿后筋）</t>
  </si>
  <si>
    <r>
      <rPr>
        <sz val="10"/>
        <rFont val="Noto Sans CJK SC"/>
        <family val="2"/>
      </rPr>
      <t xml:space="preserve">脚尖朝前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外八；可做重</t>
    </r>
    <r>
      <rPr>
        <sz val="10"/>
        <rFont val="Arial"/>
        <family val="0"/>
        <charset val="1"/>
      </rPr>
      <t xml:space="preserve">×5→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×10→</t>
    </r>
    <r>
      <rPr>
        <sz val="10"/>
        <rFont val="Noto Sans CJK SC"/>
        <family val="2"/>
      </rPr>
      <t xml:space="preserve">轻</t>
    </r>
    <r>
      <rPr>
        <sz val="10"/>
        <rFont val="Arial"/>
        <family val="0"/>
        <charset val="1"/>
      </rPr>
      <t xml:space="preserve">×15</t>
    </r>
    <r>
      <rPr>
        <sz val="10"/>
        <rFont val="Noto Sans CJK SC"/>
        <family val="2"/>
      </rPr>
      <t xml:space="preserve">递减</t>
    </r>
  </si>
  <si>
    <r>
      <rPr>
        <sz val="10"/>
        <rFont val="Arial"/>
        <family val="0"/>
        <charset val="1"/>
      </rPr>
      <t xml:space="preserve">#1 60 lb × 15</t>
    </r>
    <r>
      <rPr>
        <sz val="10"/>
        <rFont val="Noto Sans CJK SC"/>
        <family val="2"/>
      </rPr>
      <t xml:space="preserve">；第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组做到力竭
</t>
    </r>
    <r>
      <rPr>
        <sz val="10"/>
        <rFont val="Arial"/>
        <family val="0"/>
        <charset val="1"/>
      </rPr>
      <t xml:space="preserve">#36 65 lb × 20
#C1 </t>
    </r>
    <r>
      <rPr>
        <sz val="10"/>
        <rFont val="Noto Sans CJK SC"/>
        <family val="2"/>
      </rPr>
      <t xml:space="preserve">重</t>
    </r>
    <r>
      <rPr>
        <sz val="10"/>
        <rFont val="Arial"/>
        <family val="0"/>
        <charset val="1"/>
      </rPr>
      <t xml:space="preserve">×5→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×10→</t>
    </r>
    <r>
      <rPr>
        <sz val="10"/>
        <rFont val="Noto Sans CJK SC"/>
        <family val="2"/>
      </rPr>
      <t xml:space="preserve">轻</t>
    </r>
    <r>
      <rPr>
        <sz val="10"/>
        <rFont val="Arial"/>
        <family val="0"/>
        <charset val="1"/>
      </rPr>
      <t xml:space="preserve">×15</t>
    </r>
    <r>
      <rPr>
        <sz val="10"/>
        <rFont val="Noto Sans CJK SC"/>
        <family val="2"/>
      </rPr>
      <t xml:space="preserve">；脚尖朝前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外八</t>
    </r>
  </si>
  <si>
    <t xml:space="preserve">HG02</t>
  </si>
  <si>
    <t xml:space="preserve">罗马尼亚硬拉</t>
  </si>
  <si>
    <t xml:space="preserve">Romanian deadlift (RDL)</t>
  </si>
  <si>
    <t xml:space="preserve">杠铃</t>
  </si>
  <si>
    <r>
      <rPr>
        <sz val="10"/>
        <rFont val="Noto Sans CJK SC"/>
        <family val="2"/>
      </rPr>
      <t xml:space="preserve">杠铃（片≤</t>
    </r>
    <r>
      <rPr>
        <sz val="10"/>
        <rFont val="Arial"/>
        <family val="0"/>
        <charset val="1"/>
      </rPr>
      <t xml:space="preserve">90 lb + </t>
    </r>
    <r>
      <rPr>
        <sz val="10"/>
        <rFont val="Noto Sans CJK SC"/>
        <family val="2"/>
      </rPr>
      <t xml:space="preserve">杆）或双哑铃</t>
    </r>
  </si>
  <si>
    <t xml:space="preserve">腘绳肌、臀、竖脊肌</t>
  </si>
  <si>
    <t xml:space="preserve">微屈膝，臀部后推，挺胸直背，感到腿后侧拉伸后起身</t>
  </si>
  <si>
    <t xml:space="preserve">#38 90 lb × 10</t>
  </si>
  <si>
    <t xml:space="preserve">HG03</t>
  </si>
  <si>
    <t xml:space="preserve">传统硬拉（正反握）</t>
  </si>
  <si>
    <t xml:space="preserve">Conventional deadlift, mixed grip</t>
  </si>
  <si>
    <t xml:space="preserve">臀、腘绳肌、背</t>
  </si>
  <si>
    <t xml:space="preserve">正反握每组交换强弱手；直背，杠铃贴腿</t>
  </si>
  <si>
    <r>
      <rPr>
        <sz val="10"/>
        <rFont val="Arial"/>
        <family val="0"/>
        <charset val="1"/>
      </rPr>
      <t xml:space="preserve">#76 45 lb × 10</t>
    </r>
    <r>
      <rPr>
        <sz val="10"/>
        <rFont val="Noto Sans CJK SC"/>
        <family val="2"/>
      </rPr>
      <t xml:space="preserve">，正反握交换</t>
    </r>
  </si>
  <si>
    <t xml:space="preserve">HG04</t>
  </si>
  <si>
    <t xml:space="preserve">分腿站硬拉</t>
  </si>
  <si>
    <t xml:space="preserve">Split-stance deadlift</t>
  </si>
  <si>
    <r>
      <rPr>
        <sz val="10"/>
        <rFont val="Noto Sans CJK SC"/>
        <family val="2"/>
      </rPr>
      <t xml:space="preserve">杠铃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哑铃</t>
    </r>
  </si>
  <si>
    <t xml:space="preserve">杠铃或单只哑铃</t>
  </si>
  <si>
    <t xml:space="preserve">臀、腘绳肌</t>
  </si>
  <si>
    <t xml:space="preserve">双脚前后分开站立，直背硬拉；正反握</t>
  </si>
  <si>
    <r>
      <rPr>
        <sz val="10"/>
        <rFont val="Arial"/>
        <family val="0"/>
        <charset val="1"/>
      </rPr>
      <t xml:space="preserve">#34 45 lb </t>
    </r>
    <r>
      <rPr>
        <sz val="10"/>
        <rFont val="Noto Sans CJK SC"/>
        <family val="2"/>
      </rPr>
      <t xml:space="preserve">正反握 </t>
    </r>
    <r>
      <rPr>
        <sz val="10"/>
        <rFont val="Arial"/>
        <family val="0"/>
        <charset val="1"/>
      </rPr>
      <t xml:space="preserve">× 10/</t>
    </r>
    <r>
      <rPr>
        <sz val="10"/>
        <rFont val="Noto Sans CJK SC"/>
        <family val="2"/>
      </rPr>
      <t xml:space="preserve">侧</t>
    </r>
  </si>
  <si>
    <t xml:space="preserve">HG05</t>
  </si>
  <si>
    <t xml:space="preserve">壶铃摆荡</t>
  </si>
  <si>
    <t xml:space="preserve">Kettlebell swing (Russian)</t>
  </si>
  <si>
    <t xml:space="preserve">壶铃</t>
  </si>
  <si>
    <t xml:space="preserve">无壶铃→单只哑铃竖握摆荡</t>
  </si>
  <si>
    <t xml:space="preserve">臀、腘绳肌、核心</t>
  </si>
  <si>
    <r>
      <rPr>
        <sz val="10"/>
        <rFont val="Noto Sans CJK SC"/>
        <family val="2"/>
      </rPr>
      <t xml:space="preserve">髋部发力把壶铃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甩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到与地面平行，不是用手臂举</t>
    </r>
  </si>
  <si>
    <t xml:space="preserve">#5 35 lb × 25
#50 35 lb × 15
#65 40 lb
#68 30 lb × 20</t>
  </si>
  <si>
    <t xml:space="preserve">HG06</t>
  </si>
  <si>
    <t xml:space="preserve">弹力带臀桥（外展）</t>
  </si>
  <si>
    <t xml:space="preserve">Banded glute bridge with abduction</t>
  </si>
  <si>
    <t xml:space="preserve">弹力带</t>
  </si>
  <si>
    <t xml:space="preserve">布弹力圈</t>
  </si>
  <si>
    <t xml:space="preserve">臀中肌、臀大肌</t>
  </si>
  <si>
    <r>
      <rPr>
        <sz val="10"/>
        <rFont val="Noto Sans CJK SC"/>
        <family val="2"/>
      </rPr>
      <t xml:space="preserve">弹力带套膝上，仰卧顶髋，膝向外撑，顶点保持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</t>
    </r>
  </si>
  <si>
    <r>
      <rPr>
        <sz val="10"/>
        <rFont val="Arial"/>
        <family val="0"/>
        <charset val="1"/>
      </rPr>
      <t xml:space="preserve">#32 × 10</t>
    </r>
    <r>
      <rPr>
        <sz val="10"/>
        <rFont val="Noto Sans CJK SC"/>
        <family val="2"/>
      </rPr>
      <t xml:space="preserve">，顶点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</t>
    </r>
  </si>
  <si>
    <t xml:space="preserve">HG07</t>
  </si>
  <si>
    <t xml:space="preserve">滚轮凳脚跟拖行</t>
  </si>
  <si>
    <t xml:space="preserve">Rolling-stool hamstring walk</t>
  </si>
  <si>
    <t xml:space="preserve">滚轮凳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</si>
  <si>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TRX </t>
    </r>
    <r>
      <rPr>
        <sz val="10"/>
        <rFont val="Noto Sans CJK SC"/>
        <family val="2"/>
      </rPr>
      <t xml:space="preserve">腿弯举</t>
    </r>
  </si>
  <si>
    <t xml:space="preserve">腘绳肌</t>
  </si>
  <si>
    <t xml:space="preserve">坐在滚轮凳上，用脚跟抓地把身体拉向前</t>
  </si>
  <si>
    <r>
      <rPr>
        <sz val="10"/>
        <rFont val="Arial"/>
        <family val="0"/>
        <charset val="1"/>
      </rPr>
      <t xml:space="preserve">#15 3</t>
    </r>
    <r>
      <rPr>
        <sz val="10"/>
        <rFont val="Noto Sans CJK SC"/>
        <family val="2"/>
      </rPr>
      <t xml:space="preserve">趟往返</t>
    </r>
  </si>
  <si>
    <t xml:space="preserve">HG08</t>
  </si>
  <si>
    <t xml:space="preserve">瑞士球腿弯举</t>
  </si>
  <si>
    <t xml:space="preserve">Stability-ball hamstring curl</t>
  </si>
  <si>
    <t xml:space="preserve">瑞士球</t>
  </si>
  <si>
    <r>
      <rPr>
        <sz val="10"/>
        <rFont val="Noto Sans CJK SC"/>
        <family val="2"/>
      </rPr>
      <t xml:space="preserve">无瑞士球→</t>
    </r>
    <r>
      <rPr>
        <sz val="10"/>
        <rFont val="Arial"/>
        <family val="0"/>
        <charset val="1"/>
      </rPr>
      <t xml:space="preserve">TRX </t>
    </r>
    <r>
      <rPr>
        <sz val="10"/>
        <rFont val="Noto Sans CJK SC"/>
        <family val="2"/>
      </rPr>
      <t xml:space="preserve">腿弯举</t>
    </r>
  </si>
  <si>
    <t xml:space="preserve">腘绳肌、核心</t>
  </si>
  <si>
    <t xml:space="preserve">仰卧顶髋，脚跟在球上，屈膝把球拉近再伸直</t>
  </si>
  <si>
    <t xml:space="preserve">#47 × 10</t>
  </si>
  <si>
    <t xml:space="preserve">HG09</t>
  </si>
  <si>
    <t xml:space="preserve">尺蠖爬（腿后侧拉伸）</t>
  </si>
  <si>
    <t xml:space="preserve">Inchworm</t>
  </si>
  <si>
    <t xml:space="preserve">腘绳肌、肩、核心</t>
  </si>
  <si>
    <t xml:space="preserve">直腿弯腰手触地，手向前爬至平板，再走回</t>
  </si>
  <si>
    <t xml:space="preserve">#80 × 10</t>
  </si>
  <si>
    <t xml:space="preserve">SL01</t>
  </si>
  <si>
    <t xml:space="preserve">保加利亚分腿蹲</t>
  </si>
  <si>
    <t xml:space="preserve">Bulgarian split squat</t>
  </si>
  <si>
    <r>
      <rPr>
        <sz val="10"/>
        <rFont val="Noto Sans CJK SC"/>
        <family val="2"/>
      </rPr>
      <t xml:space="preserve">壶铃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哑铃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凳</t>
    </r>
  </si>
  <si>
    <r>
      <rPr>
        <sz val="10"/>
        <rFont val="Noto Sans CJK SC"/>
        <family val="2"/>
      </rPr>
      <t xml:space="preserve">后脚搭训练凳或 </t>
    </r>
    <r>
      <rPr>
        <sz val="10"/>
        <rFont val="Arial"/>
        <family val="0"/>
        <charset val="1"/>
      </rPr>
      <t xml:space="preserve">TRX</t>
    </r>
    <r>
      <rPr>
        <sz val="10"/>
        <rFont val="Noto Sans CJK SC"/>
        <family val="2"/>
      </rPr>
      <t xml:space="preserve">；双手各持哑铃</t>
    </r>
  </si>
  <si>
    <r>
      <rPr>
        <sz val="10"/>
        <rFont val="Noto Sans CJK SC"/>
        <family val="2"/>
      </rPr>
      <t xml:space="preserve">后脚搭凳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悬挂带，前腿下蹲，躯干略前倾</t>
    </r>
  </si>
  <si>
    <r>
      <rPr>
        <sz val="10"/>
        <rFont val="Arial"/>
        <family val="0"/>
        <charset val="1"/>
      </rPr>
      <t xml:space="preserve">#22 25 lb × 10/</t>
    </r>
    <r>
      <rPr>
        <sz val="10"/>
        <rFont val="Noto Sans CJK SC"/>
        <family val="2"/>
      </rPr>
      <t xml:space="preserve">侧</t>
    </r>
  </si>
  <si>
    <t xml:space="preserve">SL02</t>
  </si>
  <si>
    <t xml:space="preserve">单腿深蹲（抱壶铃）</t>
  </si>
  <si>
    <t xml:space="preserve">Single-leg squat to box (goblet)</t>
  </si>
  <si>
    <r>
      <rPr>
        <sz val="10"/>
        <rFont val="Noto Sans CJK SC"/>
        <family val="2"/>
      </rPr>
      <t xml:space="preserve">壶铃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箱</t>
    </r>
  </si>
  <si>
    <t xml:space="preserve">坐训练凳；抱单只哑铃</t>
  </si>
  <si>
    <t xml:space="preserve">股四头、臀、平衡</t>
  </si>
  <si>
    <t xml:space="preserve">壶铃抱胸前，单腿坐到箱上再站起</t>
  </si>
  <si>
    <r>
      <rPr>
        <sz val="10"/>
        <rFont val="Arial"/>
        <family val="0"/>
        <charset val="1"/>
      </rPr>
      <t xml:space="preserve">#38 25 lb × 10/</t>
    </r>
    <r>
      <rPr>
        <sz val="10"/>
        <rFont val="Noto Sans CJK SC"/>
        <family val="2"/>
      </rPr>
      <t xml:space="preserve">侧</t>
    </r>
  </si>
  <si>
    <t xml:space="preserve">SL03</t>
  </si>
  <si>
    <t xml:space="preserve">哥萨克深蹲</t>
  </si>
  <si>
    <t xml:space="preserve">Cossack squat</t>
  </si>
  <si>
    <t xml:space="preserve">单只哑铃</t>
  </si>
  <si>
    <t xml:space="preserve">内收肌（大腿内侧）、臀</t>
  </si>
  <si>
    <t xml:space="preserve">宽站距，重心移向一侧深蹲，另一腿伸直脚尖朝上</t>
  </si>
  <si>
    <r>
      <rPr>
        <sz val="10"/>
        <rFont val="Arial"/>
        <family val="0"/>
        <charset val="1"/>
      </rPr>
      <t xml:space="preserve">#20 45 lb × 10/</t>
    </r>
    <r>
      <rPr>
        <sz val="10"/>
        <rFont val="Noto Sans CJK SC"/>
        <family val="2"/>
      </rPr>
      <t xml:space="preserve">侧</t>
    </r>
  </si>
  <si>
    <t xml:space="preserve">SL04</t>
  </si>
  <si>
    <t xml:space="preserve">交叉步（屈膝礼）弓步行进</t>
  </si>
  <si>
    <t xml:space="preserve">Walking curtsy (crossover) lunge</t>
  </si>
  <si>
    <r>
      <rPr>
        <sz val="10"/>
        <rFont val="Noto Sans CJK SC"/>
        <family val="2"/>
      </rPr>
      <t xml:space="preserve">自重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沙袋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壶铃</t>
    </r>
  </si>
  <si>
    <r>
      <rPr>
        <sz val="10"/>
        <rFont val="Noto Sans CJK SC"/>
        <family val="2"/>
      </rPr>
      <t xml:space="preserve">双手提哑铃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杠铃扛肩</t>
    </r>
  </si>
  <si>
    <t xml:space="preserve">臀中肌、股四头、内收肌</t>
  </si>
  <si>
    <r>
      <rPr>
        <sz val="10"/>
        <rFont val="Noto Sans CJK SC"/>
        <family val="2"/>
      </rPr>
      <t xml:space="preserve">后腿交叉到前腿后方，后膝轻点地；可负重（过头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扛肩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双手提）</t>
    </r>
  </si>
  <si>
    <r>
      <rPr>
        <sz val="10"/>
        <rFont val="Arial"/>
        <family val="0"/>
        <charset val="1"/>
      </rPr>
      <t xml:space="preserve">#15 </t>
    </r>
    <r>
      <rPr>
        <sz val="10"/>
        <rFont val="Noto Sans CJK SC"/>
        <family val="2"/>
      </rPr>
      <t xml:space="preserve">沙袋过头，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趟往返
</t>
    </r>
    <r>
      <rPr>
        <sz val="10"/>
        <rFont val="Arial"/>
        <family val="0"/>
        <charset val="1"/>
      </rPr>
      <t xml:space="preserve">#28 </t>
    </r>
    <r>
      <rPr>
        <sz val="10"/>
        <rFont val="Noto Sans CJK SC"/>
        <family val="2"/>
      </rPr>
      <t xml:space="preserve">自重，后膝点地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对侧手上举，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
</t>
    </r>
    <r>
      <rPr>
        <sz val="10"/>
        <rFont val="Arial"/>
        <family val="0"/>
        <charset val="1"/>
      </rPr>
      <t xml:space="preserve">#65 40 lb</t>
    </r>
    <r>
      <rPr>
        <sz val="10"/>
        <rFont val="Noto Sans CJK SC"/>
        <family val="2"/>
      </rPr>
      <t xml:space="preserve">沙袋扛肩，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#68 </t>
    </r>
    <r>
      <rPr>
        <sz val="10"/>
        <rFont val="Noto Sans CJK SC"/>
        <family val="2"/>
      </rPr>
      <t xml:space="preserve">自重 </t>
    </r>
    <r>
      <rPr>
        <sz val="10"/>
        <rFont val="Arial"/>
        <family val="0"/>
        <charset val="1"/>
      </rPr>
      <t xml:space="preserve">× 12
#69 </t>
    </r>
    <r>
      <rPr>
        <sz val="10"/>
        <rFont val="Noto Sans CJK SC"/>
        <family val="2"/>
      </rPr>
      <t xml:space="preserve">双手提</t>
    </r>
    <r>
      <rPr>
        <sz val="10"/>
        <rFont val="Arial"/>
        <family val="0"/>
        <charset val="1"/>
      </rPr>
      <t xml:space="preserve">25 lb</t>
    </r>
    <r>
      <rPr>
        <sz val="10"/>
        <rFont val="Noto Sans CJK SC"/>
        <family val="2"/>
      </rPr>
      <t xml:space="preserve">壶铃 </t>
    </r>
    <r>
      <rPr>
        <sz val="10"/>
        <rFont val="Arial"/>
        <family val="0"/>
        <charset val="1"/>
      </rPr>
      <t xml:space="preserve">× 15</t>
    </r>
  </si>
  <si>
    <t xml:space="preserve">SL05</t>
  </si>
  <si>
    <t xml:space="preserve">弹力带侧向行走</t>
  </si>
  <si>
    <t xml:space="preserve">Banded lateral walk (monster walk)</t>
  </si>
  <si>
    <t xml:space="preserve">臀中肌（大腿外侧）</t>
  </si>
  <si>
    <t xml:space="preserve">弹力带套脚踝，半蹲低髋，横向迈步，带子保持张力</t>
  </si>
  <si>
    <r>
      <rPr>
        <sz val="10"/>
        <rFont val="Arial"/>
        <family val="0"/>
        <charset val="1"/>
      </rPr>
      <t xml:space="preserve">#14 </t>
    </r>
    <r>
      <rPr>
        <sz val="10"/>
        <rFont val="Noto Sans CJK SC"/>
        <family val="2"/>
      </rPr>
      <t xml:space="preserve">抱沙袋，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步 </t>
    </r>
    <r>
      <rPr>
        <sz val="10"/>
        <rFont val="Arial"/>
        <family val="0"/>
        <charset val="1"/>
      </rPr>
      <t xml:space="preserve">× 5/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#34 </t>
    </r>
    <r>
      <rPr>
        <sz val="10"/>
        <rFont val="Noto Sans CJK SC"/>
        <family val="2"/>
      </rPr>
      <t xml:space="preserve">黑色弹力带套脚踝，微蹲</t>
    </r>
  </si>
  <si>
    <t xml:space="preserve">SL06</t>
  </si>
  <si>
    <t xml:space="preserve">壶铃登阶</t>
  </si>
  <si>
    <t xml:space="preserve">Kettlebell step-up</t>
  </si>
  <si>
    <t xml:space="preserve">踩训练凳（先确认稳固）</t>
  </si>
  <si>
    <t xml:space="preserve">整只脚踩箱，前腿发力上台</t>
  </si>
  <si>
    <r>
      <rPr>
        <sz val="10"/>
        <rFont val="Arial"/>
        <family val="0"/>
        <charset val="1"/>
      </rPr>
      <t xml:space="preserve">#80 25 lb × 10/</t>
    </r>
    <r>
      <rPr>
        <sz val="10"/>
        <rFont val="Noto Sans CJK SC"/>
        <family val="2"/>
      </rPr>
      <t xml:space="preserve">侧</t>
    </r>
  </si>
  <si>
    <t xml:space="preserve">SL07</t>
  </si>
  <si>
    <t xml:space="preserve">壶铃弓步</t>
  </si>
  <si>
    <t xml:space="preserve">Kettlebell lunge</t>
  </si>
  <si>
    <t xml:space="preserve">双手提哑铃</t>
  </si>
  <si>
    <r>
      <rPr>
        <sz val="10"/>
        <rFont val="Noto Sans CJK SC"/>
        <family val="2"/>
      </rPr>
      <t xml:space="preserve">前后脚下蹲至双膝约</t>
    </r>
    <r>
      <rPr>
        <sz val="10"/>
        <rFont val="Arial"/>
        <family val="0"/>
        <charset val="1"/>
      </rPr>
      <t xml:space="preserve">90°</t>
    </r>
  </si>
  <si>
    <r>
      <rPr>
        <sz val="10"/>
        <rFont val="Arial"/>
        <family val="0"/>
        <charset val="1"/>
      </rPr>
      <t xml:space="preserve">#49 30 lb × 10/</t>
    </r>
    <r>
      <rPr>
        <sz val="10"/>
        <rFont val="Noto Sans CJK SC"/>
        <family val="2"/>
      </rPr>
      <t xml:space="preserve">侧</t>
    </r>
  </si>
  <si>
    <t xml:space="preserve">SL08</t>
  </si>
  <si>
    <t xml:space="preserve">侧弓步推片</t>
  </si>
  <si>
    <t xml:space="preserve">Lateral lunge with plate press-out</t>
  </si>
  <si>
    <t xml:space="preserve">杠铃片</t>
  </si>
  <si>
    <t xml:space="preserve">内收肌、股四头、肩</t>
  </si>
  <si>
    <t xml:space="preserve">向侧弓步同时双手把杠铃片向前推出</t>
  </si>
  <si>
    <r>
      <rPr>
        <sz val="10"/>
        <rFont val="Arial"/>
        <family val="0"/>
        <charset val="1"/>
      </rPr>
      <t xml:space="preserve">#35 35 lb</t>
    </r>
    <r>
      <rPr>
        <sz val="10"/>
        <rFont val="Noto Sans CJK SC"/>
        <family val="2"/>
      </rPr>
      <t xml:space="preserve">片 </t>
    </r>
    <r>
      <rPr>
        <sz val="10"/>
        <rFont val="Arial"/>
        <family val="0"/>
        <charset val="1"/>
      </rPr>
      <t xml:space="preserve">× 6/</t>
    </r>
    <r>
      <rPr>
        <sz val="10"/>
        <rFont val="Noto Sans CJK SC"/>
        <family val="2"/>
      </rPr>
      <t xml:space="preserve">侧</t>
    </r>
  </si>
  <si>
    <t xml:space="preserve">SL09</t>
  </si>
  <si>
    <r>
      <rPr>
        <b val="true"/>
        <sz val="10"/>
        <rFont val="Noto Sans CJK SC"/>
        <family val="2"/>
      </rPr>
      <t xml:space="preserve">单腿跳箱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落地深蹲</t>
    </r>
  </si>
  <si>
    <t xml:space="preserve">Single-leg box hop to squat landing</t>
  </si>
  <si>
    <t xml:space="preserve">箱</t>
  </si>
  <si>
    <t xml:space="preserve">股四头、臀、爆发</t>
  </si>
  <si>
    <t xml:space="preserve">单腿起跳上箱，下箱落地成深蹲</t>
  </si>
  <si>
    <t xml:space="preserve">#56 × 15</t>
  </si>
  <si>
    <t xml:space="preserve">SL10</t>
  </si>
  <si>
    <t xml:space="preserve">低位侧向交叉跳</t>
  </si>
  <si>
    <t xml:space="preserve">Low-stance lateral crossover hop</t>
  </si>
  <si>
    <t xml:space="preserve">臀中肌、心肺</t>
  </si>
  <si>
    <t xml:space="preserve">保持马步低位，左右交叉步跳</t>
  </si>
  <si>
    <t xml:space="preserve">#5 × 12</t>
  </si>
  <si>
    <t xml:space="preserve">HPU01</t>
  </si>
  <si>
    <t xml:space="preserve">坐姿推胸机</t>
  </si>
  <si>
    <t xml:space="preserve">Seated chest press machine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</si>
  <si>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HPU04 </t>
    </r>
    <r>
      <rPr>
        <sz val="10"/>
        <rFont val="Noto Sans CJK SC"/>
        <family val="2"/>
      </rPr>
      <t xml:space="preserve">哑铃卧推</t>
    </r>
  </si>
  <si>
    <t xml:space="preserve">胸、前束、三头</t>
  </si>
  <si>
    <r>
      <rPr>
        <sz val="10"/>
        <rFont val="Noto Sans CJK SC"/>
        <family val="2"/>
      </rPr>
      <t xml:space="preserve">窄握偏内胸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三头，宽握偏外胸；肩胛后收</t>
    </r>
  </si>
  <si>
    <r>
      <rPr>
        <sz val="10"/>
        <rFont val="Arial"/>
        <family val="0"/>
        <charset val="1"/>
      </rPr>
      <t xml:space="preserve">#7 </t>
    </r>
    <r>
      <rPr>
        <sz val="10"/>
        <rFont val="Noto Sans CJK SC"/>
        <family val="2"/>
      </rPr>
      <t xml:space="preserve">窄握 </t>
    </r>
    <r>
      <rPr>
        <sz val="10"/>
        <rFont val="Arial"/>
        <family val="0"/>
        <charset val="1"/>
      </rPr>
      <t xml:space="preserve">45 lb × 6
#8 </t>
    </r>
    <r>
      <rPr>
        <sz val="10"/>
        <rFont val="Noto Sans CJK SC"/>
        <family val="2"/>
      </rPr>
      <t xml:space="preserve">宽握 </t>
    </r>
    <r>
      <rPr>
        <sz val="10"/>
        <rFont val="Arial"/>
        <family val="0"/>
        <charset val="1"/>
      </rPr>
      <t xml:space="preserve">35 lb × 12</t>
    </r>
    <r>
      <rPr>
        <sz val="10"/>
        <rFont val="Noto Sans CJK SC"/>
        <family val="2"/>
      </rPr>
      <t xml:space="preserve">；最后一组力竭
</t>
    </r>
    <r>
      <rPr>
        <sz val="10"/>
        <rFont val="Arial"/>
        <family val="0"/>
        <charset val="1"/>
      </rPr>
      <t xml:space="preserve">#24 45 lb × 10
#51 70 lb × 10
#64 × 15
#C3</t>
    </r>
  </si>
  <si>
    <t xml:space="preserve">HPU02</t>
  </si>
  <si>
    <t xml:space="preserve">单臂坐姿推胸</t>
  </si>
  <si>
    <t xml:space="preserve">Single-arm chest press</t>
  </si>
  <si>
    <t xml:space="preserve">居家→单臂哑铃卧推</t>
  </si>
  <si>
    <t xml:space="preserve">胸、核心抗旋</t>
  </si>
  <si>
    <t xml:space="preserve">一侧推，躯干不转</t>
  </si>
  <si>
    <r>
      <rPr>
        <sz val="10"/>
        <rFont val="Arial"/>
        <family val="0"/>
        <charset val="1"/>
      </rPr>
      <t xml:space="preserve">#59 45 lb × 10/</t>
    </r>
    <r>
      <rPr>
        <sz val="10"/>
        <rFont val="Noto Sans CJK SC"/>
        <family val="2"/>
      </rPr>
      <t xml:space="preserve">侧</t>
    </r>
  </si>
  <si>
    <t xml:space="preserve">HPU03</t>
  </si>
  <si>
    <t xml:space="preserve">杠铃卧推</t>
  </si>
  <si>
    <t xml:space="preserve">Barbell bench press</t>
  </si>
  <si>
    <r>
      <rPr>
        <sz val="10"/>
        <rFont val="Noto Sans CJK SC"/>
        <family val="2"/>
      </rPr>
      <t xml:space="preserve">杠铃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卧推凳</t>
    </r>
  </si>
  <si>
    <r>
      <rPr>
        <sz val="10"/>
        <rFont val="Noto Sans CJK SC"/>
        <family val="2"/>
      </rPr>
      <t xml:space="preserve">无卧推架，居家不建议杠铃卧推→</t>
    </r>
    <r>
      <rPr>
        <sz val="10"/>
        <rFont val="Arial"/>
        <family val="0"/>
        <charset val="1"/>
      </rPr>
      <t xml:space="preserve">HPU04 </t>
    </r>
    <r>
      <rPr>
        <sz val="10"/>
        <rFont val="Noto Sans CJK SC"/>
        <family val="2"/>
      </rPr>
      <t xml:space="preserve">哑铃卧推</t>
    </r>
  </si>
  <si>
    <t xml:space="preserve">胸、三头、前束</t>
  </si>
  <si>
    <r>
      <rPr>
        <sz val="10"/>
        <rFont val="Noto Sans CJK SC"/>
        <family val="2"/>
      </rPr>
      <t xml:space="preserve">下放至膻中（胸骨中部）轻触，再推起；原记录 </t>
    </r>
    <r>
      <rPr>
        <sz val="10"/>
        <rFont val="Arial"/>
        <family val="0"/>
        <charset val="1"/>
      </rPr>
      <t xml:space="preserve">35 lb </t>
    </r>
    <r>
      <rPr>
        <sz val="10"/>
        <rFont val="Noto Sans CJK SC"/>
        <family val="2"/>
      </rPr>
      <t xml:space="preserve">为每侧加片（总≈</t>
    </r>
    <r>
      <rPr>
        <sz val="10"/>
        <rFont val="Arial"/>
        <family val="0"/>
        <charset val="1"/>
      </rPr>
      <t xml:space="preserve">115 lb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</si>
  <si>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#75 </t>
    </r>
    <r>
      <rPr>
        <sz val="10"/>
        <rFont val="Noto Sans CJK SC"/>
        <family val="2"/>
      </rPr>
      <t xml:space="preserve">每侧</t>
    </r>
    <r>
      <rPr>
        <sz val="10"/>
        <rFont val="Arial"/>
        <family val="0"/>
        <charset val="1"/>
      </rPr>
      <t xml:space="preserve">35 lb</t>
    </r>
    <r>
      <rPr>
        <sz val="10"/>
        <rFont val="Noto Sans CJK SC"/>
        <family val="2"/>
      </rPr>
      <t xml:space="preserve">（总≈</t>
    </r>
    <r>
      <rPr>
        <sz val="10"/>
        <rFont val="Arial"/>
        <family val="0"/>
        <charset val="1"/>
      </rPr>
      <t xml:space="preserve">115 lb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10</t>
    </r>
    <r>
      <rPr>
        <sz val="10"/>
        <rFont val="Noto Sans CJK SC"/>
        <family val="2"/>
      </rPr>
      <t xml:space="preserve">，下放至膻中</t>
    </r>
  </si>
  <si>
    <t xml:space="preserve">HPU04</t>
  </si>
  <si>
    <t xml:space="preserve">哑铃卧推</t>
  </si>
  <si>
    <t xml:space="preserve">Dumbbell bench press</t>
  </si>
  <si>
    <r>
      <rPr>
        <sz val="10"/>
        <rFont val="Noto Sans CJK SC"/>
        <family val="2"/>
      </rPr>
      <t xml:space="preserve">哑铃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凳</t>
    </r>
  </si>
  <si>
    <t xml:space="preserve">胸、三头</t>
  </si>
  <si>
    <t xml:space="preserve">#35 40 lb × 10</t>
  </si>
  <si>
    <t xml:space="preserve">HPU05</t>
  </si>
  <si>
    <t xml:space="preserve">上斜哑铃卧推</t>
  </si>
  <si>
    <t xml:space="preserve">Incline dumbbell press</t>
  </si>
  <si>
    <r>
      <rPr>
        <sz val="10"/>
        <rFont val="Noto Sans CJK SC"/>
        <family val="2"/>
      </rPr>
      <t xml:space="preserve">哑铃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可调凳</t>
    </r>
  </si>
  <si>
    <t xml:space="preserve">上胸、前束</t>
  </si>
  <si>
    <r>
      <rPr>
        <sz val="10"/>
        <rFont val="Noto Sans CJK SC"/>
        <family val="2"/>
      </rPr>
      <t xml:space="preserve">凳子约</t>
    </r>
    <r>
      <rPr>
        <sz val="10"/>
        <rFont val="Arial"/>
        <family val="0"/>
        <charset val="1"/>
      </rPr>
      <t xml:space="preserve">30°</t>
    </r>
  </si>
  <si>
    <t xml:space="preserve">#18 35 lb × 10</t>
  </si>
  <si>
    <t xml:space="preserve">HPU06</t>
  </si>
  <si>
    <r>
      <rPr>
        <b val="true"/>
        <sz val="10"/>
        <rFont val="Noto Sans CJK SC"/>
        <family val="2"/>
      </rPr>
      <t xml:space="preserve">哑铃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壶铃飞鸟</t>
    </r>
  </si>
  <si>
    <t xml:space="preserve">Dumbbell flye</t>
  </si>
  <si>
    <r>
      <rPr>
        <sz val="10"/>
        <rFont val="Noto Sans CJK SC"/>
        <family val="2"/>
      </rPr>
      <t xml:space="preserve">哑铃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壶铃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凳</t>
    </r>
  </si>
  <si>
    <t xml:space="preserve">哑铃</t>
  </si>
  <si>
    <t xml:space="preserve">微屈肘，弧线打开再合拢</t>
  </si>
  <si>
    <r>
      <rPr>
        <sz val="10"/>
        <rFont val="Arial"/>
        <family val="0"/>
        <charset val="1"/>
      </rPr>
      <t xml:space="preserve">#18 20 lb × 15
#32 10 lb</t>
    </r>
    <r>
      <rPr>
        <sz val="10"/>
        <rFont val="Noto Sans CJK SC"/>
        <family val="2"/>
      </rPr>
      <t xml:space="preserve">壶铃 </t>
    </r>
    <r>
      <rPr>
        <sz val="10"/>
        <rFont val="Arial"/>
        <family val="0"/>
        <charset val="1"/>
      </rPr>
      <t xml:space="preserve">× 10</t>
    </r>
  </si>
  <si>
    <t xml:space="preserve">HPU07</t>
  </si>
  <si>
    <r>
      <rPr>
        <b val="true"/>
        <sz val="10"/>
        <rFont val="Noto Sans CJK SC"/>
        <family val="2"/>
      </rPr>
      <t xml:space="preserve">绳索夹胸（高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中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低）</t>
    </r>
  </si>
  <si>
    <t xml:space="preserve">Cable press / fly (high, mid, low)</t>
  </si>
  <si>
    <t xml:space="preserve">绳索双滑轮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</si>
  <si>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HPU06 </t>
    </r>
    <r>
      <rPr>
        <sz val="10"/>
        <rFont val="Noto Sans CJK SC"/>
        <family val="2"/>
      </rPr>
      <t xml:space="preserve">哑铃飞鸟 或 </t>
    </r>
    <r>
      <rPr>
        <sz val="10"/>
        <rFont val="Arial"/>
        <family val="0"/>
        <charset val="1"/>
      </rPr>
      <t xml:space="preserve">TRX </t>
    </r>
    <r>
      <rPr>
        <sz val="10"/>
        <rFont val="Noto Sans CJK SC"/>
        <family val="2"/>
      </rPr>
      <t xml:space="preserve">飞鸟</t>
    </r>
  </si>
  <si>
    <r>
      <rPr>
        <sz val="10"/>
        <rFont val="Noto Sans CJK SC"/>
        <family val="2"/>
      </rPr>
      <t xml:space="preserve">胸（上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下部）</t>
    </r>
  </si>
  <si>
    <t xml:space="preserve">三个高度各做一遍</t>
  </si>
  <si>
    <r>
      <rPr>
        <sz val="10"/>
        <rFont val="Arial"/>
        <family val="0"/>
        <charset val="1"/>
      </rPr>
      <t xml:space="preserve">#C3 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</t>
    </r>
  </si>
  <si>
    <t xml:space="preserve">HPU08</t>
  </si>
  <si>
    <r>
      <rPr>
        <b val="true"/>
        <sz val="10"/>
        <rFont val="Noto Sans CJK SC"/>
        <family val="2"/>
      </rPr>
      <t xml:space="preserve">俯卧撑（标准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宽距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贴地）</t>
    </r>
  </si>
  <si>
    <t xml:space="preserve">Push-up (standard / wide / hand-release)</t>
  </si>
  <si>
    <t xml:space="preserve">胸、三头、核心</t>
  </si>
  <si>
    <t xml:space="preserve">贴地版：胸贴地、手抬离地面再推起</t>
  </si>
  <si>
    <r>
      <rPr>
        <sz val="10"/>
        <rFont val="Arial"/>
        <family val="0"/>
        <charset val="1"/>
      </rPr>
      <t xml:space="preserve">#42 × 10
#43 × 10
#45 </t>
    </r>
    <r>
      <rPr>
        <sz val="10"/>
        <rFont val="Noto Sans CJK SC"/>
        <family val="2"/>
      </rPr>
      <t xml:space="preserve">自重
</t>
    </r>
    <r>
      <rPr>
        <sz val="10"/>
        <rFont val="Arial"/>
        <family val="0"/>
        <charset val="1"/>
      </rPr>
      <t xml:space="preserve">#48 </t>
    </r>
    <r>
      <rPr>
        <sz val="10"/>
        <rFont val="Noto Sans CJK SC"/>
        <family val="2"/>
      </rPr>
      <t xml:space="preserve">贴地 </t>
    </r>
    <r>
      <rPr>
        <sz val="10"/>
        <rFont val="Arial"/>
        <family val="0"/>
        <charset val="1"/>
      </rPr>
      <t xml:space="preserve">× 10
#63 </t>
    </r>
    <r>
      <rPr>
        <sz val="10"/>
        <rFont val="Noto Sans CJK SC"/>
        <family val="2"/>
      </rPr>
      <t xml:space="preserve">贴地
</t>
    </r>
    <r>
      <rPr>
        <sz val="10"/>
        <rFont val="Arial"/>
        <family val="0"/>
        <charset val="1"/>
      </rPr>
      <t xml:space="preserve">#68 × 10
#77 × 10
#78 </t>
    </r>
    <r>
      <rPr>
        <sz val="10"/>
        <rFont val="Noto Sans CJK SC"/>
        <family val="2"/>
      </rPr>
      <t xml:space="preserve">宽距 </t>
    </r>
    <r>
      <rPr>
        <sz val="10"/>
        <rFont val="Arial"/>
        <family val="0"/>
        <charset val="1"/>
      </rPr>
      <t xml:space="preserve">× 10
#80 × 25
#C3 </t>
    </r>
    <r>
      <rPr>
        <sz val="10"/>
        <rFont val="Noto Sans CJK SC"/>
        <family val="2"/>
      </rPr>
      <t xml:space="preserve">收尾</t>
    </r>
  </si>
  <si>
    <t xml:space="preserve">HPU09</t>
  </si>
  <si>
    <r>
      <rPr>
        <b val="true"/>
        <sz val="10"/>
        <rFont val="Noto Sans CJK SC"/>
        <family val="2"/>
      </rPr>
      <t xml:space="preserve">弹力带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负重俯卧撑</t>
    </r>
  </si>
  <si>
    <t xml:space="preserve">Banded or weighted push-up</t>
  </si>
  <si>
    <r>
      <rPr>
        <sz val="10"/>
        <rFont val="Noto Sans CJK SC"/>
        <family val="2"/>
      </rPr>
      <t xml:space="preserve">弹力带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负重片</t>
    </r>
  </si>
  <si>
    <t xml:space="preserve">弹力带绕背压在两手下增加阻力</t>
  </si>
  <si>
    <r>
      <rPr>
        <sz val="10"/>
        <rFont val="Arial"/>
        <family val="0"/>
        <charset val="1"/>
      </rPr>
      <t xml:space="preserve">#C3 </t>
    </r>
    <r>
      <rPr>
        <sz val="10"/>
        <rFont val="Noto Sans CJK SC"/>
        <family val="2"/>
      </rPr>
      <t xml:space="preserve">弹力带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负重</t>
    </r>
  </si>
  <si>
    <t xml:space="preserve">HPU10</t>
  </si>
  <si>
    <t xml:space="preserve">斜杠俯卧撑</t>
  </si>
  <si>
    <t xml:space="preserve">Incline bar push-up</t>
  </si>
  <si>
    <r>
      <rPr>
        <sz val="10"/>
        <rFont val="Noto Sans CJK SC"/>
        <family val="2"/>
      </rPr>
      <t xml:space="preserve">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史密斯杠</t>
    </r>
  </si>
  <si>
    <t xml:space="preserve">手撑训练凳做上斜俯卧撑</t>
  </si>
  <si>
    <t xml:space="preserve">手扶横杠，身体成直线</t>
  </si>
  <si>
    <t xml:space="preserve">#6 × 10
#6 × 10</t>
  </si>
  <si>
    <t xml:space="preserve">HPU11</t>
  </si>
  <si>
    <t xml:space="preserve">握铃俯卧撑</t>
  </si>
  <si>
    <t xml:space="preserve">Push-up on kettlebells / dumbbells</t>
  </si>
  <si>
    <t xml:space="preserve">握哑铃把手</t>
  </si>
  <si>
    <t xml:space="preserve">胸、三头、腕稳定</t>
  </si>
  <si>
    <r>
      <rPr>
        <sz val="10"/>
        <rFont val="Noto Sans CJK SC"/>
        <family val="2"/>
      </rPr>
      <t xml:space="preserve">握住壶铃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哑铃把手做俯卧撑，幅度更深</t>
    </r>
  </si>
  <si>
    <r>
      <rPr>
        <sz val="10"/>
        <rFont val="Arial"/>
        <family val="0"/>
        <charset val="1"/>
      </rPr>
      <t xml:space="preserve">#4 26 lb × 10
#79 17.5 lb</t>
    </r>
    <r>
      <rPr>
        <sz val="10"/>
        <rFont val="Noto Sans CJK SC"/>
        <family val="2"/>
      </rPr>
      <t xml:space="preserve">哑铃</t>
    </r>
  </si>
  <si>
    <t xml:space="preserve">HPU12</t>
  </si>
  <si>
    <r>
      <rPr>
        <b val="true"/>
        <sz val="10"/>
        <rFont val="Noto Sans CJK SC"/>
        <family val="2"/>
      </rPr>
      <t xml:space="preserve">悬挂带俯卧撑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收腹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提臀</t>
    </r>
  </si>
  <si>
    <t xml:space="preserve">Suspension push-up + knee tuck / pike</t>
  </si>
  <si>
    <r>
      <rPr>
        <sz val="10"/>
        <rFont val="Arial"/>
        <family val="0"/>
        <charset val="1"/>
      </rPr>
      <t xml:space="preserve">TRX</t>
    </r>
    <r>
      <rPr>
        <sz val="10"/>
        <rFont val="Noto Sans CJK SC"/>
        <family val="2"/>
      </rPr>
      <t xml:space="preserve">悬挂带</t>
    </r>
  </si>
  <si>
    <t xml:space="preserve">TRX</t>
  </si>
  <si>
    <t xml:space="preserve">胸、核心</t>
  </si>
  <si>
    <t xml:space="preserve">双脚套悬挂带，俯卧撑后收膝贴胸或屈髋提臀</t>
  </si>
  <si>
    <r>
      <rPr>
        <sz val="10"/>
        <rFont val="Arial"/>
        <family val="0"/>
        <charset val="1"/>
      </rPr>
      <t xml:space="preserve">#52 </t>
    </r>
    <r>
      <rPr>
        <sz val="10"/>
        <rFont val="Noto Sans CJK SC"/>
        <family val="2"/>
      </rPr>
      <t xml:space="preserve">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收膝 </t>
    </r>
    <r>
      <rPr>
        <sz val="10"/>
        <rFont val="Arial"/>
        <family val="0"/>
        <charset val="1"/>
      </rPr>
      <t xml:space="preserve">× 10
#72 </t>
    </r>
    <r>
      <rPr>
        <sz val="10"/>
        <rFont val="Noto Sans CJK SC"/>
        <family val="2"/>
      </rPr>
      <t xml:space="preserve">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提臀 </t>
    </r>
    <r>
      <rPr>
        <sz val="10"/>
        <rFont val="Arial"/>
        <family val="0"/>
        <charset val="1"/>
      </rPr>
      <t xml:space="preserve">× 10
#81 </t>
    </r>
    <r>
      <rPr>
        <sz val="10"/>
        <rFont val="Noto Sans CJK SC"/>
        <family val="2"/>
      </rPr>
      <t xml:space="preserve">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提臀 </t>
    </r>
    <r>
      <rPr>
        <sz val="10"/>
        <rFont val="Arial"/>
        <family val="0"/>
        <charset val="1"/>
      </rPr>
      <t xml:space="preserve">× 10</t>
    </r>
  </si>
  <si>
    <t xml:space="preserve">VPL01</t>
  </si>
  <si>
    <r>
      <rPr>
        <b val="true"/>
        <sz val="10"/>
        <rFont val="Noto Sans CJK SC"/>
        <family val="2"/>
      </rPr>
      <t xml:space="preserve">辅助引体向上（宽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窄握）</t>
    </r>
  </si>
  <si>
    <t xml:space="preserve">Assisted pull-up (wide / close grip)</t>
  </si>
  <si>
    <t xml:space="preserve">辅助引体器械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</si>
  <si>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VPL02 </t>
    </r>
    <r>
      <rPr>
        <sz val="10"/>
        <rFont val="Noto Sans CJK SC"/>
        <family val="2"/>
      </rPr>
      <t xml:space="preserve">引体向上；做不满次数可跳起后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秒慢放（负离心）</t>
    </r>
  </si>
  <si>
    <t xml:space="preserve">背阔、二头</t>
  </si>
  <si>
    <r>
      <rPr>
        <sz val="10"/>
        <rFont val="Noto Sans CJK SC"/>
        <family val="2"/>
      </rPr>
      <t xml:space="preserve">档位</t>
    </r>
    <r>
      <rPr>
        <sz val="10"/>
        <rFont val="Arial"/>
        <family val="0"/>
        <charset val="1"/>
      </rPr>
      <t xml:space="preserve">10–12</t>
    </r>
    <r>
      <rPr>
        <sz val="10"/>
        <rFont val="Noto Sans CJK SC"/>
        <family val="2"/>
      </rPr>
      <t xml:space="preserve">（越高越省力）；宽握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开肩，窄握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收肩</t>
    </r>
  </si>
  <si>
    <r>
      <rPr>
        <sz val="10"/>
        <rFont val="Arial"/>
        <family val="0"/>
        <charset val="1"/>
      </rPr>
      <t xml:space="preserve">#6 </t>
    </r>
    <r>
      <rPr>
        <sz val="10"/>
        <rFont val="Noto Sans CJK SC"/>
        <family val="2"/>
      </rPr>
      <t xml:space="preserve">档位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宽握 </t>
    </r>
    <r>
      <rPr>
        <sz val="10"/>
        <rFont val="Arial"/>
        <family val="0"/>
        <charset val="1"/>
      </rPr>
      <t xml:space="preserve">× 10
#6 </t>
    </r>
    <r>
      <rPr>
        <sz val="10"/>
        <rFont val="Noto Sans CJK SC"/>
        <family val="2"/>
      </rPr>
      <t xml:space="preserve">档位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窄握 </t>
    </r>
    <r>
      <rPr>
        <sz val="10"/>
        <rFont val="Arial"/>
        <family val="0"/>
        <charset val="1"/>
      </rPr>
      <t xml:space="preserve">× 12
#23 </t>
    </r>
    <r>
      <rPr>
        <sz val="10"/>
        <rFont val="Noto Sans CJK SC"/>
        <family val="2"/>
      </rPr>
      <t xml:space="preserve">档位</t>
    </r>
    <r>
      <rPr>
        <sz val="10"/>
        <rFont val="Arial"/>
        <family val="0"/>
        <charset val="1"/>
      </rPr>
      <t xml:space="preserve">10 × 10
#46 </t>
    </r>
    <r>
      <rPr>
        <sz val="10"/>
        <rFont val="Noto Sans CJK SC"/>
        <family val="2"/>
      </rPr>
      <t xml:space="preserve">档位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宽握 </t>
    </r>
    <r>
      <rPr>
        <sz val="10"/>
        <rFont val="Arial"/>
        <family val="0"/>
        <charset val="1"/>
      </rPr>
      <t xml:space="preserve">× 10
#61 </t>
    </r>
    <r>
      <rPr>
        <sz val="10"/>
        <rFont val="Noto Sans CJK SC"/>
        <family val="2"/>
      </rPr>
      <t xml:space="preserve">档位</t>
    </r>
    <r>
      <rPr>
        <sz val="10"/>
        <rFont val="Arial"/>
        <family val="0"/>
        <charset val="1"/>
      </rPr>
      <t xml:space="preserve">11 × 10
#74 </t>
    </r>
    <r>
      <rPr>
        <sz val="10"/>
        <rFont val="Noto Sans CJK SC"/>
        <family val="2"/>
      </rPr>
      <t xml:space="preserve">档位</t>
    </r>
    <r>
      <rPr>
        <sz val="10"/>
        <rFont val="Arial"/>
        <family val="0"/>
        <charset val="1"/>
      </rPr>
      <t xml:space="preserve">10 × 10</t>
    </r>
  </si>
  <si>
    <t xml:space="preserve">VPL02</t>
  </si>
  <si>
    <t xml:space="preserve">引体向上</t>
  </si>
  <si>
    <t xml:space="preserve">Pull-up (bodyweight)</t>
  </si>
  <si>
    <t xml:space="preserve">单杠</t>
  </si>
  <si>
    <t xml:space="preserve">引体架</t>
  </si>
  <si>
    <t xml:space="preserve">全幅度，下到手臂伸直</t>
  </si>
  <si>
    <t xml:space="preserve">#3 × 5
#80 × 10</t>
  </si>
  <si>
    <t xml:space="preserve">VPL03</t>
  </si>
  <si>
    <t xml:space="preserve">高位下拉</t>
  </si>
  <si>
    <t xml:space="preserve">Lat pulldown</t>
  </si>
  <si>
    <r>
      <rPr>
        <sz val="10"/>
        <rFont val="Noto Sans CJK SC"/>
        <family val="2"/>
      </rPr>
      <t xml:space="preserve">器械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绳索</t>
    </r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</si>
  <si>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VPL02 </t>
    </r>
    <r>
      <rPr>
        <sz val="10"/>
        <rFont val="Noto Sans CJK SC"/>
        <family val="2"/>
      </rPr>
      <t xml:space="preserve">引体向上</t>
    </r>
  </si>
  <si>
    <t xml:space="preserve">背阔</t>
  </si>
  <si>
    <t xml:space="preserve">挺胸，拉杆至锁骨</t>
  </si>
  <si>
    <t xml:space="preserve">#66 × 15
#C4</t>
  </si>
  <si>
    <t xml:space="preserve">HPL01</t>
  </si>
  <si>
    <t xml:space="preserve">坐姿绳索划船</t>
  </si>
  <si>
    <t xml:space="preserve">Seated cable row</t>
  </si>
  <si>
    <r>
      <rPr>
        <sz val="10"/>
        <rFont val="Noto Sans CJK SC"/>
        <family val="2"/>
      </rPr>
      <t xml:space="preserve">绳索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器械</t>
    </r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</si>
  <si>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HPL08 TRX</t>
    </r>
    <r>
      <rPr>
        <sz val="10"/>
        <rFont val="Noto Sans CJK SC"/>
        <family val="2"/>
      </rPr>
      <t xml:space="preserve">划船 </t>
    </r>
    <r>
      <rPr>
        <sz val="10"/>
        <rFont val="Arial"/>
        <family val="0"/>
        <charset val="1"/>
      </rPr>
      <t xml:space="preserve">/ HPL04 </t>
    </r>
    <r>
      <rPr>
        <sz val="10"/>
        <rFont val="Noto Sans CJK SC"/>
        <family val="2"/>
      </rPr>
      <t xml:space="preserve">单臂哑铃划船</t>
    </r>
  </si>
  <si>
    <t xml:space="preserve">中背、背阔、后束</t>
  </si>
  <si>
    <r>
      <rPr>
        <sz val="10"/>
        <rFont val="Noto Sans CJK SC"/>
        <family val="2"/>
      </rPr>
      <t xml:space="preserve">直背，先收肩胛再屈肘；可做高位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低位拉</t>
    </r>
  </si>
  <si>
    <r>
      <rPr>
        <sz val="10"/>
        <rFont val="Arial"/>
        <family val="0"/>
        <charset val="1"/>
      </rPr>
      <t xml:space="preserve">#3 × 10
#25 100 lb×6 → 90×8 → 70×10 → 60×12
#C4 </t>
    </r>
    <r>
      <rPr>
        <sz val="10"/>
        <rFont val="Noto Sans CJK SC"/>
        <family val="2"/>
      </rPr>
      <t xml:space="preserve">重 </t>
    </r>
    <r>
      <rPr>
        <sz val="10"/>
        <rFont val="Arial"/>
        <family val="0"/>
        <charset val="1"/>
      </rPr>
      <t xml:space="preserve">× 5</t>
    </r>
    <r>
      <rPr>
        <sz val="10"/>
        <rFont val="Noto Sans CJK SC"/>
        <family val="2"/>
      </rPr>
      <t xml:space="preserve">；再高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低位轻 </t>
    </r>
    <r>
      <rPr>
        <sz val="10"/>
        <rFont val="Arial"/>
        <family val="0"/>
        <charset val="1"/>
      </rPr>
      <t xml:space="preserve">× 10</t>
    </r>
  </si>
  <si>
    <t xml:space="preserve">HPL02</t>
  </si>
  <si>
    <t xml:space="preserve">杠铃俯身划船（正握）</t>
  </si>
  <si>
    <t xml:space="preserve">Barbell bent-over row (overhand)</t>
  </si>
  <si>
    <t xml:space="preserve">中背、背阔</t>
  </si>
  <si>
    <t xml:space="preserve">翘臀直腰，杠铃拉向肚脐</t>
  </si>
  <si>
    <r>
      <rPr>
        <sz val="10"/>
        <rFont val="Arial"/>
        <family val="0"/>
        <charset val="1"/>
      </rPr>
      <t xml:space="preserve">#16 50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10</t>
    </r>
  </si>
  <si>
    <t xml:space="preserve">HPL03</t>
  </si>
  <si>
    <t xml:space="preserve">杠铃反握划船</t>
  </si>
  <si>
    <t xml:space="preserve">Underhand barbell row</t>
  </si>
  <si>
    <t xml:space="preserve">杠铃或曲杆</t>
  </si>
  <si>
    <t xml:space="preserve">手心向上，挺胸立臀</t>
  </si>
  <si>
    <t xml:space="preserve">#60 35 lb × 8</t>
  </si>
  <si>
    <t xml:space="preserve">HPL04</t>
  </si>
  <si>
    <t xml:space="preserve">单臂哑铃划船（扶架）</t>
  </si>
  <si>
    <t xml:space="preserve">Single-arm dumbbell row (supported)</t>
  </si>
  <si>
    <t xml:space="preserve">一手一膝撑训练凳</t>
  </si>
  <si>
    <t xml:space="preserve">背阔、中背</t>
  </si>
  <si>
    <r>
      <rPr>
        <sz val="10"/>
        <rFont val="Noto Sans CJK SC"/>
        <family val="2"/>
      </rPr>
      <t xml:space="preserve">一手扶架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凳，躯干平行地面</t>
    </r>
  </si>
  <si>
    <r>
      <rPr>
        <sz val="10"/>
        <rFont val="Arial"/>
        <family val="0"/>
        <charset val="1"/>
      </rPr>
      <t xml:space="preserve">#71 × 15/</t>
    </r>
    <r>
      <rPr>
        <sz val="10"/>
        <rFont val="Noto Sans CJK SC"/>
        <family val="2"/>
      </rPr>
      <t xml:space="preserve">侧</t>
    </r>
  </si>
  <si>
    <t xml:space="preserve">HPL05</t>
  </si>
  <si>
    <r>
      <rPr>
        <b val="true"/>
        <sz val="10"/>
        <rFont val="Noto Sans CJK SC"/>
        <family val="2"/>
      </rPr>
      <t xml:space="preserve">单臂器械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绳索划船</t>
    </r>
  </si>
  <si>
    <t xml:space="preserve">Single-arm machine / cable row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</si>
  <si>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HPL04</t>
    </r>
  </si>
  <si>
    <t xml:space="preserve">单侧拉，同侧脚固定</t>
  </si>
  <si>
    <r>
      <rPr>
        <sz val="10"/>
        <rFont val="Arial"/>
        <family val="0"/>
        <charset val="1"/>
      </rPr>
      <t xml:space="preserve">#58 70 lb × 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#C4 </t>
    </r>
    <r>
      <rPr>
        <sz val="10"/>
        <rFont val="Noto Sans CJK SC"/>
        <family val="2"/>
      </rPr>
      <t xml:space="preserve">轻 </t>
    </r>
    <r>
      <rPr>
        <sz val="10"/>
        <rFont val="Arial"/>
        <family val="0"/>
        <charset val="1"/>
      </rPr>
      <t xml:space="preserve">× 10</t>
    </r>
  </si>
  <si>
    <t xml:space="preserve">HPL06</t>
  </si>
  <si>
    <t xml:space="preserve">上斜俯卧哑铃划船</t>
  </si>
  <si>
    <t xml:space="preserve">Chest-supported incline dumbbell row</t>
  </si>
  <si>
    <t xml:space="preserve">训练凳调上斜</t>
  </si>
  <si>
    <t xml:space="preserve">中背、后束</t>
  </si>
  <si>
    <t xml:space="preserve">胸贴斜凳，手臂自然下垂后上拉</t>
  </si>
  <si>
    <t xml:space="preserve">#40 17.5 lb × 10</t>
  </si>
  <si>
    <t xml:space="preserve">HPL07</t>
  </si>
  <si>
    <t xml:space="preserve">俯卧撑划船（叛逆者划船）</t>
  </si>
  <si>
    <t xml:space="preserve">Renegade row</t>
  </si>
  <si>
    <t xml:space="preserve">背、核心抗旋</t>
  </si>
  <si>
    <t xml:space="preserve">双手握哑铃平板支撑，宽站距，交替划船</t>
  </si>
  <si>
    <r>
      <rPr>
        <sz val="10"/>
        <rFont val="Arial"/>
        <family val="0"/>
        <charset val="1"/>
      </rPr>
      <t xml:space="preserve">#31 25 lb </t>
    </r>
    <r>
      <rPr>
        <sz val="10"/>
        <rFont val="Noto Sans CJK SC"/>
        <family val="2"/>
      </rPr>
      <t xml:space="preserve">宽站距 </t>
    </r>
    <r>
      <rPr>
        <sz val="10"/>
        <rFont val="Arial"/>
        <family val="0"/>
        <charset val="1"/>
      </rPr>
      <t xml:space="preserve">× 10
#49 25 lb × 10</t>
    </r>
  </si>
  <si>
    <t xml:space="preserve">HPL08</t>
  </si>
  <si>
    <t xml:space="preserve">悬挂带反向划船</t>
  </si>
  <si>
    <t xml:space="preserve">Suspension (TRX) inverted row</t>
  </si>
  <si>
    <r>
      <rPr>
        <sz val="10"/>
        <rFont val="Arial"/>
        <family val="0"/>
        <charset val="1"/>
      </rPr>
      <t xml:space="preserve">TRX </t>
    </r>
    <r>
      <rPr>
        <sz val="10"/>
        <rFont val="Noto Sans CJK SC"/>
        <family val="2"/>
      </rPr>
      <t xml:space="preserve">挂引体架</t>
    </r>
  </si>
  <si>
    <t xml:space="preserve">中背、二头</t>
  </si>
  <si>
    <t xml:space="preserve">身体斜站成直线，把胸拉向手；可单臂</t>
  </si>
  <si>
    <r>
      <rPr>
        <sz val="10"/>
        <rFont val="Arial"/>
        <family val="0"/>
        <charset val="1"/>
      </rPr>
      <t xml:space="preserve">#42 × 15
#52 × 10
#72 </t>
    </r>
    <r>
      <rPr>
        <sz val="10"/>
        <rFont val="Noto Sans CJK SC"/>
        <family val="2"/>
      </rPr>
      <t xml:space="preserve">单臂 </t>
    </r>
    <r>
      <rPr>
        <sz val="10"/>
        <rFont val="Arial"/>
        <family val="0"/>
        <charset val="1"/>
      </rPr>
      <t xml:space="preserve">× 10
#78 × 10
#81 × 10</t>
    </r>
  </si>
  <si>
    <t xml:space="preserve">HPL09</t>
  </si>
  <si>
    <r>
      <rPr>
        <b val="true"/>
        <sz val="10"/>
        <rFont val="Noto Sans CJK SC"/>
        <family val="2"/>
      </rPr>
      <t xml:space="preserve">双绳高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中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低位拉</t>
    </r>
  </si>
  <si>
    <t xml:space="preserve">Cable row – high, mid, low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</si>
  <si>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HPL08 TRX</t>
    </r>
    <r>
      <rPr>
        <sz val="10"/>
        <rFont val="Noto Sans CJK SC"/>
        <family val="2"/>
      </rPr>
      <t xml:space="preserve">划船（调整站位改变角度）</t>
    </r>
  </si>
  <si>
    <t xml:space="preserve">背（不同角度）</t>
  </si>
  <si>
    <r>
      <rPr>
        <sz val="10"/>
        <rFont val="Noto Sans CJK SC"/>
        <family val="2"/>
      </rPr>
      <t xml:space="preserve">三个高度各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次</t>
    </r>
  </si>
  <si>
    <r>
      <rPr>
        <sz val="10"/>
        <rFont val="Arial"/>
        <family val="0"/>
        <charset val="1"/>
      </rPr>
      <t xml:space="preserve">#C4 15 lb 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低各 </t>
    </r>
    <r>
      <rPr>
        <sz val="10"/>
        <rFont val="Arial"/>
        <family val="0"/>
        <charset val="1"/>
      </rPr>
      <t xml:space="preserve">× 5</t>
    </r>
  </si>
  <si>
    <t xml:space="preserve">HPL10</t>
  </si>
  <si>
    <t xml:space="preserve">宽站距壶铃交替划船</t>
  </si>
  <si>
    <t xml:space="preserve">Wide-stance kettlebell alternating row</t>
  </si>
  <si>
    <t xml:space="preserve">用哑铃</t>
  </si>
  <si>
    <t xml:space="preserve">背、核心</t>
  </si>
  <si>
    <t xml:space="preserve">马步俯身，壶铃点地后交替上拉</t>
  </si>
  <si>
    <t xml:space="preserve">#49 × 10</t>
  </si>
  <si>
    <t xml:space="preserve">VPU01</t>
  </si>
  <si>
    <t xml:space="preserve">杠铃站姿推举（军式推举）</t>
  </si>
  <si>
    <t xml:space="preserve">Barbell overhead / military press</t>
  </si>
  <si>
    <r>
      <rPr>
        <sz val="10"/>
        <rFont val="Noto Sans CJK SC"/>
        <family val="2"/>
      </rPr>
      <t xml:space="preserve">杠铃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定重杠</t>
    </r>
  </si>
  <si>
    <t xml:space="preserve">杠铃（需翻上肩）</t>
  </si>
  <si>
    <t xml:space="preserve">三角肌、三头</t>
  </si>
  <si>
    <t xml:space="preserve">收腹夹臀，杠铃从锁骨推至头顶锁肘</t>
  </si>
  <si>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空杆 </t>
    </r>
    <r>
      <rPr>
        <sz val="10"/>
        <rFont val="Arial"/>
        <family val="0"/>
        <charset val="1"/>
      </rPr>
      <t xml:space="preserve">45 lb
#16 30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10
#23 50 lb × 10
#30 50 lb
#74 20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10</t>
    </r>
  </si>
  <si>
    <t xml:space="preserve">VPU02</t>
  </si>
  <si>
    <r>
      <rPr>
        <b val="true"/>
        <sz val="10"/>
        <rFont val="Noto Sans CJK SC"/>
        <family val="2"/>
      </rPr>
      <t xml:space="preserve">哑铃推举（坐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站）</t>
    </r>
  </si>
  <si>
    <t xml:space="preserve">Dumbbell shoulder press</t>
  </si>
  <si>
    <t xml:space="preserve">从胸平高度推至头顶</t>
  </si>
  <si>
    <t xml:space="preserve">#60 × 8
#61 35 lb × 10</t>
  </si>
  <si>
    <t xml:space="preserve">VPU03</t>
  </si>
  <si>
    <t xml:space="preserve">阿诺德推举</t>
  </si>
  <si>
    <t xml:space="preserve">Arnold press</t>
  </si>
  <si>
    <r>
      <rPr>
        <sz val="10"/>
        <rFont val="Noto Sans CJK SC"/>
        <family val="2"/>
      </rPr>
      <t xml:space="preserve">三角肌（前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中束）</t>
    </r>
  </si>
  <si>
    <t xml:space="preserve">手心朝内起始，上推时旋转至手心朝前</t>
  </si>
  <si>
    <t xml:space="preserve">#70 20 lb × 10</t>
  </si>
  <si>
    <t xml:space="preserve">VPU04</t>
  </si>
  <si>
    <t xml:space="preserve">壶铃借力推举</t>
  </si>
  <si>
    <t xml:space="preserve">Kettlebell push press</t>
  </si>
  <si>
    <t xml:space="preserve">肩、腿</t>
  </si>
  <si>
    <t xml:space="preserve">浅蹲后用腿部弹力把壶铃推过头</t>
  </si>
  <si>
    <t xml:space="preserve">#3 30 lb × 15</t>
  </si>
  <si>
    <t xml:space="preserve">VPU05</t>
  </si>
  <si>
    <t xml:space="preserve">靠墙倒立走</t>
  </si>
  <si>
    <t xml:space="preserve">Wall walk</t>
  </si>
  <si>
    <t xml:space="preserve">肩、核心</t>
  </si>
  <si>
    <t xml:space="preserve">俯卧撑位起，脚沿墙往上走、手往墙边走，再退回</t>
  </si>
  <si>
    <t xml:space="preserve">#64 × 10</t>
  </si>
  <si>
    <t xml:space="preserve">SH01</t>
  </si>
  <si>
    <r>
      <rPr>
        <b val="true"/>
        <sz val="10"/>
        <rFont val="Noto Sans CJK SC"/>
        <family val="2"/>
      </rPr>
      <t xml:space="preserve">前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侧平举（对侧静力）</t>
    </r>
  </si>
  <si>
    <t xml:space="preserve">Front &amp; lateral raise with contralateral iso-hold</t>
  </si>
  <si>
    <r>
      <rPr>
        <sz val="10"/>
        <rFont val="Noto Sans CJK SC"/>
        <family val="2"/>
      </rPr>
      <t xml:space="preserve">三角肌前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中束</t>
    </r>
  </si>
  <si>
    <t xml:space="preserve">一侧手臂平举保持不动，另一侧交替前平举、侧平举；再换边</t>
  </si>
  <si>
    <r>
      <rPr>
        <sz val="10"/>
        <rFont val="Arial"/>
        <family val="0"/>
        <charset val="1"/>
      </rPr>
      <t xml:space="preserve">#12 15 lb × 10/</t>
    </r>
    <r>
      <rPr>
        <sz val="10"/>
        <rFont val="Noto Sans CJK SC"/>
        <family val="2"/>
      </rPr>
      <t xml:space="preserve">侧</t>
    </r>
  </si>
  <si>
    <t xml:space="preserve">SH02</t>
  </si>
  <si>
    <t xml:space="preserve">哑铃三段肩部组合（古巴推举式）</t>
  </si>
  <si>
    <t xml:space="preserve">Dumbbell Cuban-press complex</t>
  </si>
  <si>
    <t xml:space="preserve">三角肌、肩袖</t>
  </si>
  <si>
    <t xml:space="preserve">① 上提至大臂与地面平行 ② 肘不动，前臂外旋至与地面平行 ③ 伸直手臂</t>
  </si>
  <si>
    <t xml:space="preserve">#11 15 lb × 10</t>
  </si>
  <si>
    <t xml:space="preserve">SH03</t>
  </si>
  <si>
    <t xml:space="preserve">俯身反向飞鸟（海鸥）</t>
  </si>
  <si>
    <t xml:space="preserve">Bent-over reverse fly</t>
  </si>
  <si>
    <t xml:space="preserve">三角肌后束、中背</t>
  </si>
  <si>
    <t xml:space="preserve">俯身，手臂微屈向两侧打开</t>
  </si>
  <si>
    <t xml:space="preserve">#70 12.5 lb × 15</t>
  </si>
  <si>
    <t xml:space="preserve">SH04</t>
  </si>
  <si>
    <r>
      <rPr>
        <b val="true"/>
        <sz val="10"/>
        <rFont val="Noto Sans CJK SC"/>
        <family val="2"/>
      </rPr>
      <t xml:space="preserve">杠铃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壶铃前平举</t>
    </r>
  </si>
  <si>
    <t xml:space="preserve">Front raise (bar / KB)</t>
  </si>
  <si>
    <r>
      <rPr>
        <sz val="10"/>
        <rFont val="Noto Sans CJK SC"/>
        <family val="2"/>
      </rPr>
      <t xml:space="preserve">定重杠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壶铃</t>
    </r>
  </si>
  <si>
    <t xml:space="preserve">杠铃片或哑铃</t>
  </si>
  <si>
    <t xml:space="preserve">三角肌前束</t>
  </si>
  <si>
    <t xml:space="preserve">锁肘，抬至与肩齐平</t>
  </si>
  <si>
    <r>
      <rPr>
        <sz val="10"/>
        <rFont val="Arial"/>
        <family val="0"/>
        <charset val="1"/>
      </rPr>
      <t xml:space="preserve">#40 25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10</t>
    </r>
  </si>
  <si>
    <t xml:space="preserve">SH06</t>
  </si>
  <si>
    <r>
      <rPr>
        <b val="true"/>
        <sz val="10"/>
        <rFont val="Noto Sans CJK SC"/>
        <family val="2"/>
      </rPr>
      <t xml:space="preserve">悬挂带 </t>
    </r>
    <r>
      <rPr>
        <b val="true"/>
        <sz val="10"/>
        <rFont val="Arial"/>
        <family val="0"/>
        <charset val="1"/>
      </rPr>
      <t xml:space="preserve">Y/T </t>
    </r>
    <r>
      <rPr>
        <b val="true"/>
        <sz val="10"/>
        <rFont val="Noto Sans CJK SC"/>
        <family val="2"/>
      </rPr>
      <t xml:space="preserve">字飞</t>
    </r>
  </si>
  <si>
    <t xml:space="preserve">Suspension Y/T raise</t>
  </si>
  <si>
    <t xml:space="preserve">后束、中下斜方</t>
  </si>
  <si>
    <r>
      <rPr>
        <sz val="10"/>
        <rFont val="Noto Sans CJK SC"/>
        <family val="2"/>
      </rPr>
      <t xml:space="preserve">身体斜站，直臂开肩拉成</t>
    </r>
    <r>
      <rPr>
        <sz val="10"/>
        <rFont val="Arial"/>
        <family val="0"/>
        <charset val="1"/>
      </rPr>
      <t xml:space="preserve">Y</t>
    </r>
    <r>
      <rPr>
        <sz val="10"/>
        <rFont val="Noto Sans CJK SC"/>
        <family val="2"/>
      </rPr>
      <t xml:space="preserve">或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字</t>
    </r>
  </si>
  <si>
    <t xml:space="preserve">#77 × 10</t>
  </si>
  <si>
    <t xml:space="preserve">SH07</t>
  </si>
  <si>
    <t xml:space="preserve">相扑哑铃高拉</t>
  </si>
  <si>
    <t xml:space="preserve">Sumo dumbbell high pull</t>
  </si>
  <si>
    <t xml:space="preserve">斜方、肩、腿</t>
  </si>
  <si>
    <t xml:space="preserve">马步站距，哑铃从两腿间拉至下巴</t>
  </si>
  <si>
    <t xml:space="preserve">#64 45 lb × 15</t>
  </si>
  <si>
    <t xml:space="preserve">SH09</t>
  </si>
  <si>
    <r>
      <rPr>
        <b val="true"/>
        <sz val="10"/>
        <rFont val="Noto Sans CJK SC"/>
        <family val="2"/>
      </rPr>
      <t xml:space="preserve">弹力带手臂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肩部练习</t>
    </r>
  </si>
  <si>
    <t xml:space="preserve">Band arm &amp; shoulder work</t>
  </si>
  <si>
    <t xml:space="preserve">弹力圈</t>
  </si>
  <si>
    <t xml:space="preserve">肩、手臂</t>
  </si>
  <si>
    <t xml:space="preserve">用弹力带收紧拉伸，练手臂和肩膀（推、拉、外展均可）</t>
  </si>
  <si>
    <t xml:space="preserve">#C5</t>
  </si>
  <si>
    <t xml:space="preserve">BI01</t>
  </si>
  <si>
    <t xml:space="preserve">交叉锤式弯举</t>
  </si>
  <si>
    <t xml:space="preserve">Cross-body hammer curl</t>
  </si>
  <si>
    <t xml:space="preserve">二头、肱桡肌</t>
  </si>
  <si>
    <t xml:space="preserve">拳眼朝上，向对侧肩方向弯举</t>
  </si>
  <si>
    <t xml:space="preserve">#17 20 lb × 10</t>
  </si>
  <si>
    <t xml:space="preserve">BI02</t>
  </si>
  <si>
    <r>
      <rPr>
        <b val="true"/>
        <sz val="10"/>
        <rFont val="Noto Sans CJK SC"/>
        <family val="2"/>
      </rPr>
      <t xml:space="preserve">哑铃弯举（全幅度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锁肘）</t>
    </r>
  </si>
  <si>
    <t xml:space="preserve">Dumbbell curl (full ROM, fixed elbow)</t>
  </si>
  <si>
    <t xml:space="preserve">从手臂完全伸直开始，大臂不动</t>
  </si>
  <si>
    <r>
      <rPr>
        <sz val="10"/>
        <rFont val="Arial"/>
        <family val="0"/>
        <charset val="1"/>
      </rPr>
      <t xml:space="preserve">#17 × 8
#C5 </t>
    </r>
    <r>
      <rPr>
        <sz val="10"/>
        <rFont val="Noto Sans CJK SC"/>
        <family val="2"/>
      </rPr>
      <t xml:space="preserve">锁肘</t>
    </r>
  </si>
  <si>
    <t xml:space="preserve">BI03</t>
  </si>
  <si>
    <t xml:space="preserve">二头递减往返组</t>
  </si>
  <si>
    <t xml:space="preserve">Biceps curl drop set (up &amp; down)</t>
  </si>
  <si>
    <t xml:space="preserve">可调哑铃按档位做递减</t>
  </si>
  <si>
    <r>
      <rPr>
        <sz val="10"/>
        <rFont val="Arial"/>
        <family val="0"/>
        <charset val="1"/>
      </rPr>
      <t xml:space="preserve">15→12.5→10→12.5→15 lb </t>
    </r>
    <r>
      <rPr>
        <sz val="10"/>
        <rFont val="Noto Sans CJK SC"/>
        <family val="2"/>
      </rPr>
      <t xml:space="preserve">各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次，中间不休息</t>
    </r>
  </si>
  <si>
    <r>
      <rPr>
        <sz val="10"/>
        <rFont val="Arial"/>
        <family val="0"/>
        <charset val="1"/>
      </rPr>
      <t xml:space="preserve">#53 15→12.5→10→12.5→15 lb </t>
    </r>
    <r>
      <rPr>
        <sz val="10"/>
        <rFont val="Noto Sans CJK SC"/>
        <family val="2"/>
      </rPr>
      <t xml:space="preserve">各 </t>
    </r>
    <r>
      <rPr>
        <sz val="10"/>
        <rFont val="Arial"/>
        <family val="0"/>
        <charset val="1"/>
      </rPr>
      <t xml:space="preserve">× 10</t>
    </r>
  </si>
  <si>
    <t xml:space="preserve">BI04</t>
  </si>
  <si>
    <t xml:space="preserve">绳索弯举</t>
  </si>
  <si>
    <t xml:space="preserve">Cable curl</t>
  </si>
  <si>
    <t xml:space="preserve">绳索</t>
  </si>
  <si>
    <r>
      <rPr>
        <sz val="10"/>
        <rFont val="Noto Sans CJK SC"/>
        <family val="2"/>
      </rPr>
      <t xml:space="preserve">居家→曲杆弯举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弹力带弯举</t>
    </r>
  </si>
  <si>
    <r>
      <rPr>
        <sz val="10"/>
        <rFont val="Arial"/>
        <family val="0"/>
        <charset val="1"/>
      </rPr>
      <t xml:space="preserve">#C5 </t>
    </r>
    <r>
      <rPr>
        <sz val="10"/>
        <rFont val="Noto Sans CJK SC"/>
        <family val="2"/>
      </rPr>
      <t xml:space="preserve">站姿</t>
    </r>
  </si>
  <si>
    <t xml:space="preserve">TR01</t>
  </si>
  <si>
    <t xml:space="preserve">仰卧臂屈伸（碎颅者）</t>
  </si>
  <si>
    <t xml:space="preserve">Skull crusher (lying triceps extension)</t>
  </si>
  <si>
    <r>
      <rPr>
        <sz val="10"/>
        <rFont val="Noto Sans CJK SC"/>
        <family val="2"/>
      </rPr>
      <t xml:space="preserve">曲杆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定重杠</t>
    </r>
  </si>
  <si>
    <r>
      <rPr>
        <sz val="10"/>
        <rFont val="Noto Sans CJK SC"/>
        <family val="2"/>
      </rPr>
      <t xml:space="preserve">曲杆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训练凳</t>
    </r>
  </si>
  <si>
    <t xml:space="preserve">大臂垂直地面锁定，只动前臂</t>
  </si>
  <si>
    <r>
      <rPr>
        <sz val="10"/>
        <rFont val="Arial"/>
        <family val="0"/>
        <charset val="1"/>
      </rPr>
      <t xml:space="preserve">#19 35 lb × 10
#71 15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15</t>
    </r>
  </si>
  <si>
    <t xml:space="preserve">TR02</t>
  </si>
  <si>
    <t xml:space="preserve">仰卧过头臂屈伸</t>
  </si>
  <si>
    <t xml:space="preserve">Lying overhead triceps extension</t>
  </si>
  <si>
    <t xml:space="preserve">三头（长头）</t>
  </si>
  <si>
    <t xml:space="preserve">杠铃下放至头后方，大臂固定</t>
  </si>
  <si>
    <t xml:space="preserve">#39 35 lb × 10</t>
  </si>
  <si>
    <t xml:space="preserve">TR03</t>
  </si>
  <si>
    <t xml:space="preserve">双杠臂屈伸</t>
  </si>
  <si>
    <t xml:space="preserve">Dips</t>
  </si>
  <si>
    <r>
      <rPr>
        <sz val="10"/>
        <rFont val="Noto Sans CJK SC"/>
        <family val="2"/>
      </rPr>
      <t xml:space="preserve">双杠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辅助器</t>
    </r>
  </si>
  <si>
    <t xml:space="preserve">无双杠→训练凳上臂屈伸（凳上撑）</t>
  </si>
  <si>
    <t xml:space="preserve">三头、下胸</t>
  </si>
  <si>
    <t xml:space="preserve">躯干直立偏三头</t>
  </si>
  <si>
    <r>
      <rPr>
        <sz val="10"/>
        <rFont val="Arial"/>
        <family val="0"/>
        <charset val="1"/>
      </rPr>
      <t xml:space="preserve">#39 </t>
    </r>
    <r>
      <rPr>
        <sz val="10"/>
        <rFont val="Noto Sans CJK SC"/>
        <family val="2"/>
      </rPr>
      <t xml:space="preserve">自重 </t>
    </r>
    <r>
      <rPr>
        <sz val="10"/>
        <rFont val="Arial"/>
        <family val="0"/>
        <charset val="1"/>
      </rPr>
      <t xml:space="preserve">× 6</t>
    </r>
  </si>
  <si>
    <t xml:space="preserve">TR04</t>
  </si>
  <si>
    <t xml:space="preserve">坐姿哑铃颈后臂屈伸</t>
  </si>
  <si>
    <t xml:space="preserve">Seated overhead dumbbell extension</t>
  </si>
  <si>
    <t xml:space="preserve">大臂贴耳，只动前臂</t>
  </si>
  <si>
    <r>
      <rPr>
        <sz val="10"/>
        <rFont val="Arial"/>
        <family val="0"/>
        <charset val="1"/>
      </rPr>
      <t xml:space="preserve">#67 20 lb × 10
#C5 </t>
    </r>
    <r>
      <rPr>
        <sz val="10"/>
        <rFont val="Noto Sans CJK SC"/>
        <family val="2"/>
      </rPr>
      <t xml:space="preserve">过头</t>
    </r>
  </si>
  <si>
    <t xml:space="preserve">TR05</t>
  </si>
  <si>
    <t xml:space="preserve">哑铃俯身臂屈伸</t>
  </si>
  <si>
    <t xml:space="preserve">Dumbbell triceps kickback</t>
  </si>
  <si>
    <t xml:space="preserve">大臂贴身固定，向后伸直</t>
  </si>
  <si>
    <t xml:space="preserve">#67 30 lb × 10</t>
  </si>
  <si>
    <t xml:space="preserve">TR06</t>
  </si>
  <si>
    <t xml:space="preserve">绳索下压</t>
  </si>
  <si>
    <t xml:space="preserve">Cable triceps pushdown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</si>
  <si>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TR04 / TR05</t>
    </r>
  </si>
  <si>
    <t xml:space="preserve">肘贴身体两侧</t>
  </si>
  <si>
    <t xml:space="preserve">TR07</t>
  </si>
  <si>
    <t xml:space="preserve">单臂哑铃臂屈伸（由肩至直臂）</t>
  </si>
  <si>
    <t xml:space="preserve">Single-arm dumbbell extension</t>
  </si>
  <si>
    <r>
      <rPr>
        <sz val="10"/>
        <rFont val="Noto Sans CJK SC"/>
        <family val="2"/>
      </rPr>
      <t xml:space="preserve">原记录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点肩直臂外甩手腕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</si>
  <si>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#39 25 lb × 10/</t>
    </r>
    <r>
      <rPr>
        <sz val="10"/>
        <rFont val="Noto Sans CJK SC"/>
        <family val="2"/>
      </rPr>
      <t xml:space="preserve">侧</t>
    </r>
  </si>
  <si>
    <t xml:space="preserve">CO01</t>
  </si>
  <si>
    <r>
      <rPr>
        <b val="true"/>
        <sz val="10"/>
        <rFont val="Noto Sans CJK SC"/>
        <family val="2"/>
      </rPr>
      <t xml:space="preserve">仰卧起坐（可负重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转体）</t>
    </r>
  </si>
  <si>
    <t xml:space="preserve">Sit-up (weighted / with twist)</t>
  </si>
  <si>
    <r>
      <rPr>
        <sz val="10"/>
        <rFont val="Noto Sans CJK SC"/>
        <family val="2"/>
      </rPr>
      <t xml:space="preserve">自重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哑铃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药球</t>
    </r>
  </si>
  <si>
    <t xml:space="preserve">腹直肌</t>
  </si>
  <si>
    <t xml:space="preserve">负重可为：胸前抱哑铃、举杆、举药球；可加左右转体</t>
  </si>
  <si>
    <r>
      <rPr>
        <sz val="10"/>
        <rFont val="Arial"/>
        <family val="0"/>
        <charset val="1"/>
      </rPr>
      <t xml:space="preserve">#4 </t>
    </r>
    <r>
      <rPr>
        <sz val="10"/>
        <rFont val="Noto Sans CJK SC"/>
        <family val="2"/>
      </rPr>
      <t xml:space="preserve">举</t>
    </r>
    <r>
      <rPr>
        <sz val="10"/>
        <rFont val="Arial"/>
        <family val="0"/>
        <charset val="1"/>
      </rPr>
      <t xml:space="preserve">15 lb</t>
    </r>
    <r>
      <rPr>
        <sz val="10"/>
        <rFont val="Noto Sans CJK SC"/>
        <family val="2"/>
      </rPr>
      <t xml:space="preserve">杆 </t>
    </r>
    <r>
      <rPr>
        <sz val="10"/>
        <rFont val="Arial"/>
        <family val="0"/>
        <charset val="1"/>
      </rPr>
      <t xml:space="preserve">× 15
#43 </t>
    </r>
    <r>
      <rPr>
        <sz val="10"/>
        <rFont val="Noto Sans CJK SC"/>
        <family val="2"/>
      </rPr>
      <t xml:space="preserve">直背 </t>
    </r>
    <r>
      <rPr>
        <sz val="10"/>
        <rFont val="Arial"/>
        <family val="0"/>
        <charset val="1"/>
      </rPr>
      <t xml:space="preserve">× 15
#54 </t>
    </r>
    <r>
      <rPr>
        <sz val="10"/>
        <rFont val="Noto Sans CJK SC"/>
        <family val="2"/>
      </rPr>
      <t xml:space="preserve">弹力带辅助，举</t>
    </r>
    <r>
      <rPr>
        <sz val="10"/>
        <rFont val="Arial"/>
        <family val="0"/>
        <charset val="1"/>
      </rPr>
      <t xml:space="preserve">8 lb</t>
    </r>
    <r>
      <rPr>
        <sz val="10"/>
        <rFont val="Noto Sans CJK SC"/>
        <family val="2"/>
      </rPr>
      <t xml:space="preserve">球 </t>
    </r>
    <r>
      <rPr>
        <sz val="10"/>
        <rFont val="Arial"/>
        <family val="0"/>
        <charset val="1"/>
      </rPr>
      <t xml:space="preserve">× 10
#62 </t>
    </r>
    <r>
      <rPr>
        <sz val="10"/>
        <rFont val="Noto Sans CJK SC"/>
        <family val="2"/>
      </rPr>
      <t xml:space="preserve">抱</t>
    </r>
    <r>
      <rPr>
        <sz val="10"/>
        <rFont val="Arial"/>
        <family val="0"/>
        <charset val="1"/>
      </rPr>
      <t xml:space="preserve">35 lb</t>
    </r>
    <r>
      <rPr>
        <sz val="10"/>
        <rFont val="Noto Sans CJK SC"/>
        <family val="2"/>
      </rPr>
      <t xml:space="preserve">哑铃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左右转体 </t>
    </r>
    <r>
      <rPr>
        <sz val="10"/>
        <rFont val="Arial"/>
        <family val="0"/>
        <charset val="1"/>
      </rPr>
      <t xml:space="preserve">× 10
#80 × 15</t>
    </r>
  </si>
  <si>
    <t xml:space="preserve">CO02</t>
  </si>
  <si>
    <r>
      <rPr>
        <b val="true"/>
        <sz val="10"/>
        <rFont val="Arial"/>
        <family val="0"/>
        <charset val="1"/>
      </rPr>
      <t xml:space="preserve">V</t>
    </r>
    <r>
      <rPr>
        <b val="true"/>
        <sz val="10"/>
        <rFont val="Noto Sans CJK SC"/>
        <family val="2"/>
      </rPr>
      <t xml:space="preserve">字两头起</t>
    </r>
  </si>
  <si>
    <t xml:space="preserve">V-up</t>
  </si>
  <si>
    <t xml:space="preserve">#20 × 10</t>
  </si>
  <si>
    <t xml:space="preserve">CO03</t>
  </si>
  <si>
    <t xml:space="preserve">跪姿健腹轮</t>
  </si>
  <si>
    <t xml:space="preserve">Ab wheel rollout (kneeling)</t>
  </si>
  <si>
    <t xml:space="preserve">健腹轮</t>
  </si>
  <si>
    <t xml:space="preserve">腹直肌、核心抗伸展</t>
  </si>
  <si>
    <t xml:space="preserve">弓背收腹前滑，腰不塌</t>
  </si>
  <si>
    <t xml:space="preserve">CO04</t>
  </si>
  <si>
    <t xml:space="preserve">悬挂带跪姿展腹</t>
  </si>
  <si>
    <t xml:space="preserve">Suspension kneeling fallout</t>
  </si>
  <si>
    <t xml:space="preserve">核心抗伸展</t>
  </si>
  <si>
    <t xml:space="preserve">跪地握悬挂带，身体前倾展开再拉回</t>
  </si>
  <si>
    <t xml:space="preserve">#13 × 15</t>
  </si>
  <si>
    <t xml:space="preserve">CO05</t>
  </si>
  <si>
    <t xml:space="preserve">悬挂带辅助起坐接拉</t>
  </si>
  <si>
    <t xml:space="preserve">Suspension-assisted sit-up to pull</t>
  </si>
  <si>
    <t xml:space="preserve">腹、背</t>
  </si>
  <si>
    <t xml:space="preserve">仰卧屈腿，拽悬挂带起坐并接拉</t>
  </si>
  <si>
    <t xml:space="preserve">#13 × 10</t>
  </si>
  <si>
    <t xml:space="preserve">CO06</t>
  </si>
  <si>
    <r>
      <rPr>
        <b val="true"/>
        <sz val="10"/>
        <rFont val="Noto Sans CJK SC"/>
        <family val="2"/>
      </rPr>
      <t xml:space="preserve">罗马椅举腿（直腿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屈膝）</t>
    </r>
  </si>
  <si>
    <t xml:space="preserve">Captain's chair leg raise (straight / bent)</t>
  </si>
  <si>
    <t xml:space="preserve">罗马椅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</si>
  <si>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CO07 </t>
    </r>
    <r>
      <rPr>
        <sz val="10"/>
        <rFont val="Noto Sans CJK SC"/>
        <family val="2"/>
      </rPr>
      <t xml:space="preserve">引体架悬垂举腿</t>
    </r>
  </si>
  <si>
    <t xml:space="preserve">下腹、髋屈肌</t>
  </si>
  <si>
    <t xml:space="preserve">前臂撑住，直腿举至水平或屈膝贴胸</t>
  </si>
  <si>
    <r>
      <rPr>
        <sz val="10"/>
        <rFont val="Arial"/>
        <family val="0"/>
        <charset val="1"/>
      </rPr>
      <t xml:space="preserve">#46 </t>
    </r>
    <r>
      <rPr>
        <sz val="10"/>
        <rFont val="Noto Sans CJK SC"/>
        <family val="2"/>
      </rPr>
      <t xml:space="preserve">直腿 </t>
    </r>
    <r>
      <rPr>
        <sz val="10"/>
        <rFont val="Arial"/>
        <family val="0"/>
        <charset val="1"/>
      </rPr>
      <t xml:space="preserve">× 10
#46 </t>
    </r>
    <r>
      <rPr>
        <sz val="10"/>
        <rFont val="Noto Sans CJK SC"/>
        <family val="2"/>
      </rPr>
      <t xml:space="preserve">屈膝贴胸 </t>
    </r>
    <r>
      <rPr>
        <sz val="10"/>
        <rFont val="Arial"/>
        <family val="0"/>
        <charset val="1"/>
      </rPr>
      <t xml:space="preserve">× 10
#64 </t>
    </r>
    <r>
      <rPr>
        <sz val="10"/>
        <rFont val="Noto Sans CJK SC"/>
        <family val="2"/>
      </rPr>
      <t xml:space="preserve">屈膝 </t>
    </r>
    <r>
      <rPr>
        <sz val="10"/>
        <rFont val="Arial"/>
        <family val="0"/>
        <charset val="1"/>
      </rPr>
      <t xml:space="preserve">× 10</t>
    </r>
  </si>
  <si>
    <t xml:space="preserve">CO07</t>
  </si>
  <si>
    <t xml:space="preserve">悬垂卷腹</t>
  </si>
  <si>
    <t xml:space="preserve">Hanging knee raise / crunch</t>
  </si>
  <si>
    <t xml:space="preserve">下腹</t>
  </si>
  <si>
    <t xml:space="preserve">#31 × 10
#73 × 10</t>
  </si>
  <si>
    <t xml:space="preserve">CO08</t>
  </si>
  <si>
    <t xml:space="preserve">平板支撑（直臂）</t>
  </si>
  <si>
    <t xml:space="preserve">Plank (straight-arm)</t>
  </si>
  <si>
    <r>
      <rPr>
        <sz val="10"/>
        <rFont val="Arial"/>
        <family val="0"/>
        <charset val="1"/>
      </rPr>
      <t xml:space="preserve">#63 1</t>
    </r>
    <r>
      <rPr>
        <sz val="10"/>
        <rFont val="Noto Sans CJK SC"/>
        <family val="2"/>
      </rPr>
      <t xml:space="preserve">分钟
</t>
    </r>
    <r>
      <rPr>
        <sz val="10"/>
        <rFont val="Arial"/>
        <family val="0"/>
        <charset val="1"/>
      </rPr>
      <t xml:space="preserve">#80 1</t>
    </r>
    <r>
      <rPr>
        <sz val="10"/>
        <rFont val="Noto Sans CJK SC"/>
        <family val="2"/>
      </rPr>
      <t xml:space="preserve">分钟</t>
    </r>
  </si>
  <si>
    <t xml:space="preserve">CO09</t>
  </si>
  <si>
    <t xml:space="preserve">仰卧直腿够脚尖</t>
  </si>
  <si>
    <t xml:space="preserve">Lying toe-touch crunch</t>
  </si>
  <si>
    <t xml:space="preserve">双腿垂直上举，手够脚尖</t>
  </si>
  <si>
    <t xml:space="preserve">#27 × 10</t>
  </si>
  <si>
    <t xml:space="preserve">CO10</t>
  </si>
  <si>
    <t xml:space="preserve">仰卧直腿雨刷</t>
  </si>
  <si>
    <t xml:space="preserve">Lying windshield wiper</t>
  </si>
  <si>
    <t xml:space="preserve">腹斜肌</t>
  </si>
  <si>
    <t xml:space="preserve">CO11</t>
  </si>
  <si>
    <r>
      <rPr>
        <b val="true"/>
        <sz val="10"/>
        <rFont val="Arial"/>
        <family val="0"/>
        <charset val="1"/>
      </rPr>
      <t xml:space="preserve">BOSU</t>
    </r>
    <r>
      <rPr>
        <b val="true"/>
        <sz val="10"/>
        <rFont val="Noto Sans CJK SC"/>
        <family val="2"/>
      </rPr>
      <t xml:space="preserve">交叉手脚触碰</t>
    </r>
  </si>
  <si>
    <t xml:space="preserve">BOSU cross-body toe touch</t>
  </si>
  <si>
    <r>
      <rPr>
        <sz val="10"/>
        <rFont val="Arial"/>
        <family val="0"/>
        <charset val="1"/>
      </rPr>
      <t xml:space="preserve">BOSU</t>
    </r>
    <r>
      <rPr>
        <sz val="10"/>
        <rFont val="Noto Sans CJK SC"/>
        <family val="2"/>
      </rPr>
      <t xml:space="preserve">软半球</t>
    </r>
  </si>
  <si>
    <r>
      <rPr>
        <sz val="10"/>
        <rFont val="Noto Sans CJK SC"/>
        <family val="2"/>
      </rPr>
      <t xml:space="preserve">无</t>
    </r>
    <r>
      <rPr>
        <sz val="10"/>
        <rFont val="Arial"/>
        <family val="0"/>
        <charset val="1"/>
      </rPr>
      <t xml:space="preserve">BOSU→</t>
    </r>
    <r>
      <rPr>
        <sz val="10"/>
        <rFont val="Noto Sans CJK SC"/>
        <family val="2"/>
      </rPr>
      <t xml:space="preserve">垫上做交叉触碰</t>
    </r>
  </si>
  <si>
    <t xml:space="preserve">腹斜肌、平衡</t>
  </si>
  <si>
    <r>
      <rPr>
        <sz val="10"/>
        <rFont val="Noto Sans CJK SC"/>
        <family val="2"/>
      </rPr>
      <t xml:space="preserve">坐</t>
    </r>
    <r>
      <rPr>
        <sz val="10"/>
        <rFont val="Arial"/>
        <family val="0"/>
        <charset val="1"/>
      </rPr>
      <t xml:space="preserve">BOSU</t>
    </r>
    <r>
      <rPr>
        <sz val="10"/>
        <rFont val="Noto Sans CJK SC"/>
        <family val="2"/>
      </rPr>
      <t xml:space="preserve">，对侧手脚相碰</t>
    </r>
  </si>
  <si>
    <r>
      <rPr>
        <sz val="10"/>
        <rFont val="Arial"/>
        <family val="0"/>
        <charset val="1"/>
      </rPr>
      <t xml:space="preserve">#41 × 10/</t>
    </r>
    <r>
      <rPr>
        <sz val="10"/>
        <rFont val="Noto Sans CJK SC"/>
        <family val="2"/>
      </rPr>
      <t xml:space="preserve">侧</t>
    </r>
  </si>
  <si>
    <t xml:space="preserve">CO12</t>
  </si>
  <si>
    <t xml:space="preserve">固定下肢后仰（直臂上举）</t>
  </si>
  <si>
    <t xml:space="preserve">Anchored lean-back hold</t>
  </si>
  <si>
    <t xml:space="preserve">腹直肌、髋屈肌</t>
  </si>
  <si>
    <r>
      <rPr>
        <sz val="10"/>
        <rFont val="Noto Sans CJK SC"/>
        <family val="2"/>
      </rPr>
      <t xml:space="preserve">固定臀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脚，上身后仰保持，双臂上举</t>
    </r>
  </si>
  <si>
    <r>
      <rPr>
        <sz val="10"/>
        <rFont val="Arial"/>
        <family val="0"/>
        <charset val="1"/>
      </rPr>
      <t xml:space="preserve">#41 </t>
    </r>
    <r>
      <rPr>
        <sz val="10"/>
        <rFont val="Noto Sans CJK SC"/>
        <family val="2"/>
      </rPr>
      <t xml:space="preserve">保持</t>
    </r>
  </si>
  <si>
    <t xml:space="preserve">CO13</t>
  </si>
  <si>
    <t xml:space="preserve">俄罗斯转体</t>
  </si>
  <si>
    <t xml:space="preserve">Russian twist</t>
  </si>
  <si>
    <r>
      <rPr>
        <sz val="10"/>
        <rFont val="Noto Sans CJK SC"/>
        <family val="2"/>
      </rPr>
      <t xml:space="preserve">自重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药球</t>
    </r>
  </si>
  <si>
    <t xml:space="preserve">#C6</t>
  </si>
  <si>
    <t xml:space="preserve">CO14</t>
  </si>
  <si>
    <r>
      <rPr>
        <b val="true"/>
        <sz val="10"/>
        <rFont val="Arial"/>
        <family val="0"/>
        <charset val="1"/>
      </rPr>
      <t xml:space="preserve">45°</t>
    </r>
    <r>
      <rPr>
        <b val="true"/>
        <sz val="10"/>
        <rFont val="Noto Sans CJK SC"/>
        <family val="2"/>
      </rPr>
      <t xml:space="preserve">卷腹</t>
    </r>
  </si>
  <si>
    <t xml:space="preserve">45° crunch</t>
  </si>
  <si>
    <r>
      <rPr>
        <sz val="10"/>
        <rFont val="Noto Sans CJK SC"/>
        <family val="2"/>
      </rPr>
      <t xml:space="preserve">上身抬起约</t>
    </r>
    <r>
      <rPr>
        <sz val="10"/>
        <rFont val="Arial"/>
        <family val="0"/>
        <charset val="1"/>
      </rPr>
      <t xml:space="preserve">45°</t>
    </r>
    <r>
      <rPr>
        <sz val="10"/>
        <rFont val="Noto Sans CJK SC"/>
        <family val="2"/>
      </rPr>
      <t xml:space="preserve">的卷腹</t>
    </r>
  </si>
  <si>
    <t xml:space="preserve">CO15</t>
  </si>
  <si>
    <t xml:space="preserve">抬腿仰卧起坐抛球</t>
  </si>
  <si>
    <t xml:space="preserve">Elevated-leg sit-up with med-ball toss</t>
  </si>
  <si>
    <r>
      <rPr>
        <sz val="10"/>
        <rFont val="Noto Sans CJK SC"/>
        <family val="2"/>
      </rPr>
      <t xml:space="preserve">无药球→</t>
    </r>
    <r>
      <rPr>
        <sz val="10"/>
        <rFont val="Arial"/>
        <family val="0"/>
        <charset val="1"/>
      </rPr>
      <t xml:space="preserve">CO01 </t>
    </r>
    <r>
      <rPr>
        <sz val="10"/>
        <rFont val="Noto Sans CJK SC"/>
        <family val="2"/>
      </rPr>
      <t xml:space="preserve">抱哑铃仰卧起坐</t>
    </r>
  </si>
  <si>
    <r>
      <rPr>
        <sz val="10"/>
        <rFont val="Arial"/>
        <family val="0"/>
        <charset val="1"/>
      </rPr>
      <t xml:space="preserve">#79 12 lb</t>
    </r>
    <r>
      <rPr>
        <sz val="10"/>
        <rFont val="Noto Sans CJK SC"/>
        <family val="2"/>
      </rPr>
      <t xml:space="preserve">球</t>
    </r>
  </si>
  <si>
    <t xml:space="preserve">CO16</t>
  </si>
  <si>
    <t xml:space="preserve">坐姿持杆划桨转体</t>
  </si>
  <si>
    <t xml:space="preserve">Seated bar paddle twist</t>
  </si>
  <si>
    <t xml:space="preserve">短杆</t>
  </si>
  <si>
    <t xml:space="preserve">用杠铃杆或曲杆</t>
  </si>
  <si>
    <r>
      <rPr>
        <sz val="10"/>
        <rFont val="Arial"/>
        <family val="0"/>
        <charset val="1"/>
      </rPr>
      <t xml:space="preserve">#4 15 lb</t>
    </r>
    <r>
      <rPr>
        <sz val="10"/>
        <rFont val="Noto Sans CJK SC"/>
        <family val="2"/>
      </rPr>
      <t xml:space="preserve">杆 </t>
    </r>
    <r>
      <rPr>
        <sz val="10"/>
        <rFont val="Arial"/>
        <family val="0"/>
        <charset val="1"/>
      </rPr>
      <t xml:space="preserve">× 10/</t>
    </r>
    <r>
      <rPr>
        <sz val="10"/>
        <rFont val="Noto Sans CJK SC"/>
        <family val="2"/>
      </rPr>
      <t xml:space="preserve">侧</t>
    </r>
  </si>
  <si>
    <t xml:space="preserve">CO17</t>
  </si>
  <si>
    <t xml:space="preserve">抬头看鞋卷腹</t>
  </si>
  <si>
    <t xml:space="preserve">"Look at your sneakers" crunch</t>
  </si>
  <si>
    <t xml:space="preserve">CO18</t>
  </si>
  <si>
    <t xml:space="preserve">仰卧交替踢腿</t>
  </si>
  <si>
    <t xml:space="preserve">Flutter kick</t>
  </si>
  <si>
    <t xml:space="preserve">仰卧，腰贴地，双腿伸直离地小幅交替上下踢</t>
  </si>
  <si>
    <t xml:space="preserve">PW01</t>
  </si>
  <si>
    <t xml:space="preserve">波比跳</t>
  </si>
  <si>
    <t xml:space="preserve">Burpee</t>
  </si>
  <si>
    <t xml:space="preserve">全身、心肺</t>
  </si>
  <si>
    <r>
      <rPr>
        <sz val="10"/>
        <rFont val="Arial"/>
        <family val="0"/>
        <charset val="1"/>
      </rPr>
      <t xml:space="preserve">#2 </t>
    </r>
    <r>
      <rPr>
        <sz val="10"/>
        <rFont val="Noto Sans CJK SC"/>
        <family val="2"/>
      </rPr>
      <t xml:space="preserve">自重
</t>
    </r>
    <r>
      <rPr>
        <sz val="10"/>
        <rFont val="Arial"/>
        <family val="0"/>
        <charset val="1"/>
      </rPr>
      <t xml:space="preserve">#45 </t>
    </r>
    <r>
      <rPr>
        <sz val="10"/>
        <rFont val="Noto Sans CJK SC"/>
        <family val="2"/>
      </rPr>
      <t xml:space="preserve">自重
</t>
    </r>
    <r>
      <rPr>
        <sz val="10"/>
        <rFont val="Arial"/>
        <family val="0"/>
        <charset val="1"/>
      </rPr>
      <t xml:space="preserve">#80 × 10</t>
    </r>
  </si>
  <si>
    <t xml:space="preserve">PW02</t>
  </si>
  <si>
    <t xml:space="preserve">波比跳上箱</t>
  </si>
  <si>
    <t xml:space="preserve">Burpee box jump</t>
  </si>
  <si>
    <t xml:space="preserve">胸贴地后起身跳上箱</t>
  </si>
  <si>
    <r>
      <rPr>
        <sz val="10"/>
        <rFont val="Arial"/>
        <family val="0"/>
        <charset val="1"/>
      </rPr>
      <t xml:space="preserve">#30 </t>
    </r>
    <r>
      <rPr>
        <sz val="10"/>
        <rFont val="Noto Sans CJK SC"/>
        <family val="2"/>
      </rPr>
      <t xml:space="preserve">自重</t>
    </r>
  </si>
  <si>
    <t xml:space="preserve">PW03</t>
  </si>
  <si>
    <t xml:space="preserve">药球墙球</t>
  </si>
  <si>
    <t xml:space="preserve">Wall ball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</si>
  <si>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PW05 </t>
    </r>
    <r>
      <rPr>
        <sz val="10"/>
        <rFont val="Noto Sans CJK SC"/>
        <family val="2"/>
      </rPr>
      <t xml:space="preserve">哑铃深蹲推举</t>
    </r>
  </si>
  <si>
    <t xml:space="preserve">腿、肩、心肺</t>
  </si>
  <si>
    <t xml:space="preserve">深蹲后起身把球抛向墙上目标再接住</t>
  </si>
  <si>
    <t xml:space="preserve">#2 18 lb
#31 × 15</t>
  </si>
  <si>
    <t xml:space="preserve">PW04</t>
  </si>
  <si>
    <t xml:space="preserve">药球砸地</t>
  </si>
  <si>
    <t xml:space="preserve">Med-ball slam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</si>
  <si>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PW01 </t>
    </r>
    <r>
      <rPr>
        <sz val="10"/>
        <rFont val="Noto Sans CJK SC"/>
        <family val="2"/>
      </rPr>
      <t xml:space="preserve">波比跳</t>
    </r>
  </si>
  <si>
    <t xml:space="preserve">全身、核心</t>
  </si>
  <si>
    <t xml:space="preserve">举过头用力砸地</t>
  </si>
  <si>
    <r>
      <rPr>
        <sz val="10"/>
        <rFont val="Arial"/>
        <family val="0"/>
        <charset val="1"/>
      </rPr>
      <t xml:space="preserve">#45 </t>
    </r>
    <r>
      <rPr>
        <sz val="10"/>
        <rFont val="Noto Sans CJK SC"/>
        <family val="2"/>
      </rPr>
      <t xml:space="preserve">药球
</t>
    </r>
    <r>
      <rPr>
        <sz val="10"/>
        <rFont val="Arial"/>
        <family val="0"/>
        <charset val="1"/>
      </rPr>
      <t xml:space="preserve">#50 12 lb × 10</t>
    </r>
  </si>
  <si>
    <t xml:space="preserve">PW05</t>
  </si>
  <si>
    <r>
      <rPr>
        <b val="true"/>
        <sz val="10"/>
        <rFont val="Noto Sans CJK SC"/>
        <family val="2"/>
      </rPr>
      <t xml:space="preserve">深蹲推举（</t>
    </r>
    <r>
      <rPr>
        <b val="true"/>
        <sz val="10"/>
        <rFont val="Arial"/>
        <family val="0"/>
        <charset val="1"/>
      </rPr>
      <t xml:space="preserve">Thruster</t>
    </r>
    <r>
      <rPr>
        <b val="true"/>
        <sz val="10"/>
        <rFont val="Noto Sans CJK SC"/>
        <family val="2"/>
      </rPr>
      <t xml:space="preserve">）</t>
    </r>
  </si>
  <si>
    <t xml:space="preserve">Thruster (squat to press)</t>
  </si>
  <si>
    <r>
      <rPr>
        <sz val="10"/>
        <rFont val="Noto Sans CJK SC"/>
        <family val="2"/>
      </rPr>
      <t xml:space="preserve">药球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哑铃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壶铃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杠铃</t>
    </r>
  </si>
  <si>
    <t xml:space="preserve">哑铃或杠铃</t>
  </si>
  <si>
    <t xml:space="preserve">腿、肩</t>
  </si>
  <si>
    <t xml:space="preserve">深蹲起身时借力把重量推过头</t>
  </si>
  <si>
    <r>
      <rPr>
        <sz val="10"/>
        <rFont val="Arial"/>
        <family val="0"/>
        <charset val="1"/>
      </rPr>
      <t xml:space="preserve">#43 45 lb</t>
    </r>
    <r>
      <rPr>
        <sz val="10"/>
        <rFont val="Noto Sans CJK SC"/>
        <family val="2"/>
      </rPr>
      <t xml:space="preserve">空杆 </t>
    </r>
    <r>
      <rPr>
        <sz val="10"/>
        <rFont val="Arial"/>
        <family val="0"/>
        <charset val="1"/>
      </rPr>
      <t xml:space="preserve">× 10
#45 </t>
    </r>
    <r>
      <rPr>
        <sz val="10"/>
        <rFont val="Noto Sans CJK SC"/>
        <family val="2"/>
      </rPr>
      <t xml:space="preserve">药球
</t>
    </r>
    <r>
      <rPr>
        <sz val="10"/>
        <rFont val="Arial"/>
        <family val="0"/>
        <charset val="1"/>
      </rPr>
      <t xml:space="preserve">#50 25 lb</t>
    </r>
    <r>
      <rPr>
        <sz val="10"/>
        <rFont val="Noto Sans CJK SC"/>
        <family val="2"/>
      </rPr>
      <t xml:space="preserve">哑铃 </t>
    </r>
    <r>
      <rPr>
        <sz val="10"/>
        <rFont val="Arial"/>
        <family val="0"/>
        <charset val="1"/>
      </rPr>
      <t xml:space="preserve">× 10
#77 25 lb</t>
    </r>
    <r>
      <rPr>
        <sz val="10"/>
        <rFont val="Noto Sans CJK SC"/>
        <family val="2"/>
      </rPr>
      <t xml:space="preserve">壶铃马步 </t>
    </r>
    <r>
      <rPr>
        <sz val="10"/>
        <rFont val="Arial"/>
        <family val="0"/>
        <charset val="1"/>
      </rPr>
      <t xml:space="preserve">× 10
#78 25 lb</t>
    </r>
    <r>
      <rPr>
        <sz val="10"/>
        <rFont val="Noto Sans CJK SC"/>
        <family val="2"/>
      </rPr>
      <t xml:space="preserve">壶铃马步 </t>
    </r>
    <r>
      <rPr>
        <sz val="10"/>
        <rFont val="Arial"/>
        <family val="0"/>
        <charset val="1"/>
      </rPr>
      <t xml:space="preserve">× 10</t>
    </r>
  </si>
  <si>
    <t xml:space="preserve">PW06</t>
  </si>
  <si>
    <t xml:space="preserve">深蹲跳</t>
  </si>
  <si>
    <t xml:space="preserve">Squat jump</t>
  </si>
  <si>
    <t xml:space="preserve">腿、爆发</t>
  </si>
  <si>
    <t xml:space="preserve">#42 × 15
#55 × 15
#63 × 15</t>
  </si>
  <si>
    <t xml:space="preserve">PW07</t>
  </si>
  <si>
    <t xml:space="preserve">跳箱</t>
  </si>
  <si>
    <t xml:space="preserve">Box jump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</si>
  <si>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PW06 </t>
    </r>
    <r>
      <rPr>
        <sz val="10"/>
        <rFont val="Noto Sans CJK SC"/>
        <family val="2"/>
      </rPr>
      <t xml:space="preserve">深蹲跳</t>
    </r>
  </si>
  <si>
    <r>
      <rPr>
        <sz val="10"/>
        <rFont val="Arial"/>
        <family val="0"/>
        <charset val="1"/>
      </rPr>
      <t xml:space="preserve">#77 </t>
    </r>
    <r>
      <rPr>
        <sz val="10"/>
        <rFont val="Noto Sans CJK SC"/>
        <family val="2"/>
      </rPr>
      <t xml:space="preserve">矮箱 </t>
    </r>
    <r>
      <rPr>
        <sz val="10"/>
        <rFont val="Arial"/>
        <family val="0"/>
        <charset val="1"/>
      </rPr>
      <t xml:space="preserve">× 10
#78 </t>
    </r>
    <r>
      <rPr>
        <sz val="10"/>
        <rFont val="Noto Sans CJK SC"/>
        <family val="2"/>
      </rPr>
      <t xml:space="preserve">高箱 </t>
    </r>
    <r>
      <rPr>
        <sz val="10"/>
        <rFont val="Arial"/>
        <family val="0"/>
        <charset val="1"/>
      </rPr>
      <t xml:space="preserve">× 10</t>
    </r>
  </si>
  <si>
    <t xml:space="preserve">PW08</t>
  </si>
  <si>
    <t xml:space="preserve">战绳</t>
  </si>
  <si>
    <t xml:space="preserve">Battle ropes</t>
  </si>
  <si>
    <r>
      <rPr>
        <sz val="10"/>
        <rFont val="Noto Sans CJK SC"/>
        <family val="2"/>
      </rPr>
      <t xml:space="preserve">居家→</t>
    </r>
    <r>
      <rPr>
        <sz val="10"/>
        <rFont val="Arial"/>
        <family val="0"/>
        <charset val="1"/>
      </rPr>
      <t xml:space="preserve">PW01 </t>
    </r>
    <r>
      <rPr>
        <sz val="10"/>
        <rFont val="Noto Sans CJK SC"/>
        <family val="2"/>
      </rPr>
      <t xml:space="preserve">波比跳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星跳</t>
    </r>
  </si>
  <si>
    <t xml:space="preserve">肩、心肺</t>
  </si>
  <si>
    <t xml:space="preserve">#27 × 15
#79
#80 × 15</t>
  </si>
  <si>
    <t xml:space="preserve">PW09</t>
  </si>
  <si>
    <r>
      <rPr>
        <b val="true"/>
        <sz val="10"/>
        <rFont val="Noto Sans CJK SC"/>
        <family val="2"/>
      </rPr>
      <t xml:space="preserve">雪橇推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拉</t>
    </r>
  </si>
  <si>
    <t xml:space="preserve">Sled push &amp; drag</t>
  </si>
  <si>
    <t xml:space="preserve">雪橇</t>
  </si>
  <si>
    <t xml:space="preserve">腿、全身</t>
  </si>
  <si>
    <t xml:space="preserve">直背推；后拉可用绑带倒退走</t>
  </si>
  <si>
    <r>
      <rPr>
        <sz val="10"/>
        <rFont val="Arial"/>
        <family val="0"/>
        <charset val="1"/>
      </rPr>
      <t xml:space="preserve">#33 450 lb </t>
    </r>
    <r>
      <rPr>
        <sz val="10"/>
        <rFont val="Noto Sans CJK SC"/>
        <family val="2"/>
      </rPr>
      <t xml:space="preserve">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倒退拉
</t>
    </r>
    <r>
      <rPr>
        <sz val="10"/>
        <rFont val="Arial"/>
        <family val="0"/>
        <charset val="1"/>
      </rPr>
      <t xml:space="preserve">#55 90 lb </t>
    </r>
    <r>
      <rPr>
        <sz val="10"/>
        <rFont val="Noto Sans CJK SC"/>
        <family val="2"/>
      </rPr>
      <t xml:space="preserve">推拉往返
</t>
    </r>
    <r>
      <rPr>
        <sz val="10"/>
        <rFont val="Arial"/>
        <family val="0"/>
        <charset val="1"/>
      </rPr>
      <t xml:space="preserve">#63 3</t>
    </r>
    <r>
      <rPr>
        <sz val="10"/>
        <rFont val="Noto Sans CJK SC"/>
        <family val="2"/>
      </rPr>
      <t xml:space="preserve">片</t>
    </r>
    <r>
      <rPr>
        <sz val="10"/>
        <rFont val="Arial"/>
        <family val="0"/>
        <charset val="1"/>
      </rPr>
      <t xml:space="preserve">45 lb</t>
    </r>
    <r>
      <rPr>
        <sz val="10"/>
        <rFont val="Noto Sans CJK SC"/>
        <family val="2"/>
      </rPr>
      <t xml:space="preserve">：交叉步推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绑带后拉
</t>
    </r>
    <r>
      <rPr>
        <sz val="10"/>
        <rFont val="Arial"/>
        <family val="0"/>
        <charset val="1"/>
      </rPr>
      <t xml:space="preserve">#C2 </t>
    </r>
    <r>
      <rPr>
        <sz val="10"/>
        <rFont val="Noto Sans CJK SC"/>
        <family val="2"/>
      </rPr>
      <t xml:space="preserve">负重拖架前进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后退</t>
    </r>
  </si>
  <si>
    <t xml:space="preserve">PW10</t>
  </si>
  <si>
    <t xml:space="preserve">地雷管深蹲推举</t>
  </si>
  <si>
    <t xml:space="preserve">Landmine squat to press</t>
  </si>
  <si>
    <t xml:space="preserve">杠铃（单端）</t>
  </si>
  <si>
    <t xml:space="preserve">#73 35 lb × 10</t>
  </si>
  <si>
    <t xml:space="preserve">PW12</t>
  </si>
  <si>
    <t xml:space="preserve">起坐站起跳</t>
  </si>
  <si>
    <t xml:space="preserve">Sit-up to stand &amp; jump</t>
  </si>
  <si>
    <r>
      <rPr>
        <sz val="10"/>
        <rFont val="Noto Sans CJK SC"/>
        <family val="2"/>
      </rPr>
      <t xml:space="preserve">毛巾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自重</t>
    </r>
  </si>
  <si>
    <t xml:space="preserve">#57 × 40</t>
  </si>
  <si>
    <t xml:space="preserve">PW13</t>
  </si>
  <si>
    <r>
      <rPr>
        <b val="true"/>
        <sz val="10"/>
        <rFont val="Noto Sans CJK SC"/>
        <family val="2"/>
      </rPr>
      <t xml:space="preserve">俯卧撑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蛙跳低蹲行进</t>
    </r>
  </si>
  <si>
    <t xml:space="preserve">Push-up + frog-hop low squat (traveling)</t>
  </si>
  <si>
    <t xml:space="preserve">俯卧撑后跳成低蹲马步，前进一段再接俯卧撑</t>
  </si>
  <si>
    <r>
      <rPr>
        <sz val="10"/>
        <rFont val="Arial"/>
        <family val="0"/>
        <charset val="1"/>
      </rPr>
      <t xml:space="preserve">#29 1</t>
    </r>
    <r>
      <rPr>
        <sz val="10"/>
        <rFont val="Noto Sans CJK SC"/>
        <family val="2"/>
      </rPr>
      <t xml:space="preserve">趟往返</t>
    </r>
  </si>
  <si>
    <t xml:space="preserve">PW14</t>
  </si>
  <si>
    <t xml:space="preserve">星跳</t>
  </si>
  <si>
    <t xml:space="preserve">Star jump</t>
  </si>
  <si>
    <t xml:space="preserve">#26 × 15
#48 × 15</t>
  </si>
  <si>
    <t xml:space="preserve">BL01</t>
  </si>
  <si>
    <r>
      <rPr>
        <b val="true"/>
        <sz val="10"/>
        <rFont val="Noto Sans CJK SC"/>
        <family val="2"/>
      </rPr>
      <t xml:space="preserve">单腿站</t>
    </r>
    <r>
      <rPr>
        <b val="true"/>
        <sz val="10"/>
        <rFont val="Arial"/>
        <family val="0"/>
        <charset val="1"/>
      </rPr>
      <t xml:space="preserve">BOSU</t>
    </r>
  </si>
  <si>
    <t xml:space="preserve">Single-leg balance on BOSU</t>
  </si>
  <si>
    <r>
      <rPr>
        <sz val="10"/>
        <rFont val="Noto Sans CJK SC"/>
        <family val="2"/>
      </rPr>
      <t xml:space="preserve">无</t>
    </r>
    <r>
      <rPr>
        <sz val="10"/>
        <rFont val="Arial"/>
        <family val="0"/>
        <charset val="1"/>
      </rPr>
      <t xml:space="preserve">BOSU→</t>
    </r>
    <r>
      <rPr>
        <sz val="10"/>
        <rFont val="Noto Sans CJK SC"/>
        <family val="2"/>
      </rPr>
      <t xml:space="preserve">单腿站在折叠瑜伽垫上</t>
    </r>
  </si>
  <si>
    <t xml:space="preserve">踝、平衡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</si>
  <si>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侧</t>
    </r>
  </si>
  <si>
    <r>
      <rPr>
        <sz val="10"/>
        <rFont val="Arial"/>
        <family val="0"/>
        <charset val="1"/>
      </rPr>
      <t xml:space="preserve">#C2 20</t>
    </r>
    <r>
      <rPr>
        <sz val="10"/>
        <rFont val="Noto Sans CJK SC"/>
        <family val="2"/>
      </rPr>
      <t xml:space="preserve">秒</t>
    </r>
  </si>
  <si>
    <t xml:space="preserve">BL02</t>
  </si>
  <si>
    <t xml:space="preserve">单腿药球砸地</t>
  </si>
  <si>
    <t xml:space="preserve">Single-leg med-ball slam</t>
  </si>
  <si>
    <t xml:space="preserve">平衡、核心</t>
  </si>
  <si>
    <t xml:space="preserve">#C2 10 lb</t>
  </si>
  <si>
    <t xml:space="preserve">BL03</t>
  </si>
  <si>
    <t xml:space="preserve">肩扛悬挂负重杆高抬腿走</t>
  </si>
  <si>
    <t xml:space="preserve">High-knee walk with oscillating bar</t>
  </si>
  <si>
    <r>
      <rPr>
        <sz val="10"/>
        <rFont val="Noto Sans CJK SC"/>
        <family val="2"/>
      </rPr>
      <t xml:space="preserve">杠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弹力带挂重</t>
    </r>
  </si>
  <si>
    <t xml:space="preserve">核心稳定</t>
  </si>
  <si>
    <r>
      <rPr>
        <sz val="10"/>
        <rFont val="Noto Sans CJK SC"/>
        <family val="2"/>
      </rPr>
      <t xml:space="preserve">杠两端用弹力带挂</t>
    </r>
    <r>
      <rPr>
        <sz val="10"/>
        <rFont val="Arial"/>
        <family val="0"/>
        <charset val="1"/>
      </rPr>
      <t xml:space="preserve">10 lb</t>
    </r>
    <r>
      <rPr>
        <sz val="10"/>
        <rFont val="Noto Sans CJK SC"/>
        <family val="2"/>
      </rPr>
      <t xml:space="preserve">，前进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后退</t>
    </r>
  </si>
  <si>
    <r>
      <rPr>
        <sz val="10"/>
        <rFont val="Arial"/>
        <family val="0"/>
        <charset val="1"/>
      </rPr>
      <t xml:space="preserve">#C2 </t>
    </r>
    <r>
      <rPr>
        <sz val="10"/>
        <rFont val="Noto Sans CJK SC"/>
        <family val="2"/>
      </rPr>
      <t xml:space="preserve">挂</t>
    </r>
    <r>
      <rPr>
        <sz val="10"/>
        <rFont val="Arial"/>
        <family val="0"/>
        <charset val="1"/>
      </rPr>
      <t xml:space="preserve">10 lb</t>
    </r>
    <r>
      <rPr>
        <sz val="10"/>
        <rFont val="Noto Sans CJK SC"/>
        <family val="2"/>
      </rPr>
      <t xml:space="preserve">，前进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后退</t>
    </r>
  </si>
  <si>
    <t xml:space="preserve">BL04</t>
  </si>
  <si>
    <t xml:space="preserve">站砖体前屈卷背</t>
  </si>
  <si>
    <t xml:space="preserve">Standing forward fold / Jefferson curl on blocks</t>
  </si>
  <si>
    <t xml:space="preserve">瑜伽砖</t>
  </si>
  <si>
    <t xml:space="preserve">腿后侧、臀、下背（灵活性）</t>
  </si>
  <si>
    <t xml:space="preserve">站两块砖上，直腿逐节卷背向下够脚尖</t>
  </si>
  <si>
    <t xml:space="preserve">#C2</t>
  </si>
  <si>
    <t xml:space="preserve">SQ13</t>
  </si>
  <si>
    <t xml:space="preserve">手持杠铃深蹲</t>
  </si>
  <si>
    <t xml:space="preserve">Barbell hold squat (bar at arms' length)</t>
  </si>
  <si>
    <t xml:space="preserve">股四头、臀、握力</t>
  </si>
  <si>
    <t xml:space="preserve">双手持杠铃垂于身前，直背下蹲再站起</t>
  </si>
  <si>
    <r>
      <rPr>
        <sz val="10"/>
        <rFont val="Arial"/>
        <family val="0"/>
        <charset val="1"/>
      </rPr>
      <t xml:space="preserve">#44 32 kg</t>
    </r>
    <r>
      <rPr>
        <sz val="10"/>
        <rFont val="Noto Sans CJK SC"/>
        <family val="2"/>
      </rPr>
      <t xml:space="preserve">（≈</t>
    </r>
    <r>
      <rPr>
        <sz val="10"/>
        <rFont val="Arial"/>
        <family val="0"/>
        <charset val="1"/>
      </rPr>
      <t xml:space="preserve">70 lb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15</t>
    </r>
  </si>
  <si>
    <t xml:space="preserve">VPU06</t>
  </si>
  <si>
    <t xml:space="preserve">杠铃挺举</t>
  </si>
  <si>
    <t xml:space="preserve">Barbell jerk</t>
  </si>
  <si>
    <t xml:space="preserve">肩、腿、全身爆发</t>
  </si>
  <si>
    <t xml:space="preserve">杠铃架于锁骨，屈膝下沉后蹬腿把杠铃推过头锁肘</t>
  </si>
  <si>
    <t xml:space="preserve">#19 × 10</t>
  </si>
  <si>
    <t xml:space="preserve">TR09</t>
  </si>
  <si>
    <t xml:space="preserve">上斜俯卧哑铃臂屈伸（固定肘）</t>
  </si>
  <si>
    <t xml:space="preserve">Chest-supported dumbbell kickback (fixed elbow)</t>
  </si>
  <si>
    <t xml:space="preserve">胸贴斜凳，拳眼朝前，大臂固定，前臂向后伸直</t>
  </si>
  <si>
    <t xml:space="preserve">#</t>
  </si>
  <si>
    <t xml:space="preserve">原始描述（原文）</t>
  </si>
  <si>
    <t xml:space="preserve">原分类</t>
  </si>
  <si>
    <r>
      <rPr>
        <b val="true"/>
        <sz val="10"/>
        <color rgb="FFFFFFFF"/>
        <rFont val="Noto Sans CJK SC"/>
        <family val="2"/>
      </rPr>
      <t xml:space="preserve">新分类 </t>
    </r>
    <r>
      <rPr>
        <b val="true"/>
        <sz val="10"/>
        <color rgb="FFFFFFFF"/>
        <rFont val="Arial"/>
        <family val="0"/>
        <charset val="1"/>
      </rPr>
      <t xml:space="preserve">Focus</t>
    </r>
  </si>
  <si>
    <t xml:space="preserve">Focus (EN)</t>
  </si>
  <si>
    <t xml:space="preserve">规范描述（中文）</t>
  </si>
  <si>
    <t xml:space="preserve">Standardized (English)</t>
  </si>
  <si>
    <r>
      <rPr>
        <b val="true"/>
        <sz val="10"/>
        <color rgb="FFFFFFFF"/>
        <rFont val="Noto Sans CJK SC"/>
        <family val="2"/>
      </rPr>
      <t xml:space="preserve">动作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</si>
  <si>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可全部在家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</si>
  <si>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组：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60lb</t>
    </r>
    <r>
      <rPr>
        <sz val="10"/>
        <rFont val="Noto Sans CJK SC"/>
        <family val="2"/>
      </rPr>
      <t xml:space="preserve">卧位拉腿后筋，第二组做到极限</t>
    </r>
  </si>
  <si>
    <r>
      <rPr>
        <sz val="10"/>
        <rFont val="Arial"/>
        <family val="0"/>
        <charset val="1"/>
      </rPr>
      <t xml:space="preserve">A-1</t>
    </r>
    <r>
      <rPr>
        <sz val="10"/>
        <rFont val="Noto Sans CJK SC"/>
        <family val="2"/>
      </rPr>
      <t xml:space="preserve">：下肢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腿后筋</t>
    </r>
  </si>
  <si>
    <t xml:space="preserve">Legs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</si>
  <si>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腿弯举（卧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坐） — </t>
    </r>
    <r>
      <rPr>
        <sz val="10"/>
        <rFont val="Arial"/>
        <family val="0"/>
        <charset val="1"/>
      </rPr>
      <t xml:space="preserve">60 lb × 15</t>
    </r>
    <r>
      <rPr>
        <sz val="10"/>
        <rFont val="Noto Sans CJK SC"/>
        <family val="2"/>
      </rPr>
      <t xml:space="preserve">；第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组做到力竭</t>
    </r>
  </si>
  <si>
    <t xml:space="preserve">[2 sets]
1. Leg curl (lying or seated) — 60 lb × 15; set 2 to failure</t>
  </si>
  <si>
    <r>
      <rPr>
        <sz val="10"/>
        <rFont val="Arial"/>
        <family val="0"/>
        <charset val="1"/>
      </rPr>
      <t xml:space="preserve">15-12-9-6-3: </t>
    </r>
    <r>
      <rPr>
        <sz val="10"/>
        <rFont val="Noto Sans CJK SC"/>
        <family val="2"/>
      </rPr>
      <t xml:space="preserve">单侧</t>
    </r>
    <r>
      <rPr>
        <sz val="10"/>
        <rFont val="Arial"/>
        <family val="0"/>
        <charset val="1"/>
      </rPr>
      <t xml:space="preserve">70lb</t>
    </r>
    <r>
      <rPr>
        <sz val="10"/>
        <rFont val="Noto Sans CJK SC"/>
        <family val="2"/>
      </rPr>
      <t xml:space="preserve">杠铃架；卧推杆部队上举；</t>
    </r>
    <r>
      <rPr>
        <sz val="10"/>
        <rFont val="Arial"/>
        <family val="0"/>
        <charset val="1"/>
      </rPr>
      <t xml:space="preserve">18lb</t>
    </r>
    <r>
      <rPr>
        <sz val="10"/>
        <rFont val="Noto Sans CJK SC"/>
        <family val="2"/>
      </rPr>
      <t xml:space="preserve">球深蹲抛接；卧跳</t>
    </r>
  </si>
  <si>
    <r>
      <rPr>
        <sz val="10"/>
        <rFont val="Arial"/>
        <family val="0"/>
        <charset val="1"/>
      </rPr>
      <t xml:space="preserve">Z-A</t>
    </r>
    <r>
      <rPr>
        <sz val="10"/>
        <rFont val="Noto Sans CJK SC"/>
        <family val="2"/>
      </rPr>
      <t xml:space="preserve">：综合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下肢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核心力量</t>
    </r>
  </si>
  <si>
    <t xml:space="preserve">Full body</t>
  </si>
  <si>
    <r>
      <rPr>
        <sz val="10"/>
        <rFont val="Noto Sans CJK SC"/>
        <family val="2"/>
      </rPr>
      <t xml:space="preserve">【阶梯 </t>
    </r>
    <r>
      <rPr>
        <sz val="10"/>
        <rFont val="Arial"/>
        <family val="0"/>
        <charset val="1"/>
      </rPr>
      <t xml:space="preserve">15-12-9-6-3</t>
    </r>
    <r>
      <rPr>
        <sz val="10"/>
        <rFont val="Noto Sans CJK SC"/>
        <family val="2"/>
      </rPr>
      <t xml:space="preserve">（每轮各动作做对应次数）】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杠铃后蹲 — 每侧</t>
    </r>
    <r>
      <rPr>
        <sz val="10"/>
        <rFont val="Arial"/>
        <family val="0"/>
        <charset val="1"/>
      </rPr>
      <t xml:space="preserve">70 lb
2. </t>
    </r>
    <r>
      <rPr>
        <sz val="10"/>
        <rFont val="Noto Sans CJK SC"/>
        <family val="2"/>
      </rPr>
      <t xml:space="preserve">杠铃站姿推举（军式推举） — 空杆 </t>
    </r>
    <r>
      <rPr>
        <sz val="10"/>
        <rFont val="Arial"/>
        <family val="0"/>
        <charset val="1"/>
      </rPr>
      <t xml:space="preserve">45 lb
3. </t>
    </r>
    <r>
      <rPr>
        <sz val="10"/>
        <rFont val="Noto Sans CJK SC"/>
        <family val="2"/>
      </rPr>
      <t xml:space="preserve">药球墙球 — </t>
    </r>
    <r>
      <rPr>
        <sz val="10"/>
        <rFont val="Arial"/>
        <family val="0"/>
        <charset val="1"/>
      </rPr>
      <t xml:space="preserve">18 lb
4. </t>
    </r>
    <r>
      <rPr>
        <sz val="10"/>
        <rFont val="Noto Sans CJK SC"/>
        <family val="2"/>
      </rPr>
      <t xml:space="preserve">波比跳 — 自重</t>
    </r>
  </si>
  <si>
    <t xml:space="preserve">[Ladder 15-12-9-6-3 reps]
1. Barbell back squat — per side 70 lb
2. Barbell overhead / military press — empty bar 45 lb
3. Wall ball — 18 lb
4. Burpee — bodyweight</t>
  </si>
  <si>
    <t xml:space="preserve">SQ01, VPU01, PW03, PW01</t>
  </si>
  <si>
    <r>
      <rPr>
        <sz val="10"/>
        <rFont val="Arial"/>
        <family val="0"/>
        <charset val="1"/>
      </rPr>
      <t xml:space="preserve">30lb</t>
    </r>
    <r>
      <rPr>
        <sz val="10"/>
        <rFont val="Noto Sans CJK SC"/>
        <family val="2"/>
      </rPr>
      <t xml:space="preserve">壶铃浅蹲跳上举过头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个；五个全引体向上；</t>
    </r>
    <r>
      <rPr>
        <sz val="10"/>
        <rFont val="Arial"/>
        <family val="0"/>
        <charset val="1"/>
      </rPr>
      <t xml:space="preserve">260m string pull back; </t>
    </r>
    <r>
      <rPr>
        <sz val="10"/>
        <rFont val="Noto Sans CJK SC"/>
        <family val="2"/>
      </rPr>
      <t xml:space="preserve">牵引绳坐位直背上拉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</si>
  <si>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Z-E</t>
    </r>
    <r>
      <rPr>
        <sz val="10"/>
        <rFont val="Noto Sans CJK SC"/>
        <family val="2"/>
      </rPr>
      <t xml:space="preserve">：综合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上肢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肩背</t>
    </r>
  </si>
  <si>
    <r>
      <rPr>
        <sz val="10"/>
        <rFont val="Noto Sans CJK SC"/>
        <family val="2"/>
      </rPr>
      <t xml:space="preserve">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肩</t>
    </r>
  </si>
  <si>
    <t xml:space="preserve">Back + Shoulders</t>
  </si>
  <si>
    <r>
      <rPr>
        <sz val="10"/>
        <rFont val="Noto Sans CJK SC"/>
        <family val="2"/>
      </rPr>
      <t xml:space="preserve">大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小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</si>
  <si>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壶铃借力推举 — </t>
    </r>
    <r>
      <rPr>
        <sz val="10"/>
        <rFont val="Arial"/>
        <family val="0"/>
        <charset val="1"/>
      </rPr>
      <t xml:space="preserve">30 lb × 15
2. </t>
    </r>
    <r>
      <rPr>
        <sz val="10"/>
        <rFont val="Noto Sans CJK SC"/>
        <family val="2"/>
      </rPr>
      <t xml:space="preserve">引体向上 — </t>
    </r>
    <r>
      <rPr>
        <sz val="10"/>
        <rFont val="Arial"/>
        <family val="0"/>
        <charset val="1"/>
      </rPr>
      <t xml:space="preserve">× 5
3. </t>
    </r>
    <r>
      <rPr>
        <sz val="10"/>
        <rFont val="Noto Sans CJK SC"/>
        <family val="2"/>
      </rPr>
      <t xml:space="preserve">划船机 — </t>
    </r>
    <r>
      <rPr>
        <sz val="10"/>
        <rFont val="Arial"/>
        <family val="0"/>
        <charset val="1"/>
      </rPr>
      <t xml:space="preserve">260 m
4. </t>
    </r>
    <r>
      <rPr>
        <sz val="10"/>
        <rFont val="Noto Sans CJK SC"/>
        <family val="2"/>
      </rPr>
      <t xml:space="preserve">坐姿绳索划船 — </t>
    </r>
    <r>
      <rPr>
        <sz val="10"/>
        <rFont val="Arial"/>
        <family val="0"/>
        <charset val="1"/>
      </rPr>
      <t xml:space="preserve">× 10</t>
    </r>
  </si>
  <si>
    <t xml:space="preserve">[1 round (circuit)]
1. Kettlebell push press — 30 lb × 15
2. Pull-up (bodyweight) — × 5
3. Rowing machine (erg) — 260 m
4. Seated cable row — × 10</t>
  </si>
  <si>
    <t xml:space="preserve">VPU04, VPL02, WU02, HPL01</t>
  </si>
  <si>
    <r>
      <rPr>
        <sz val="10"/>
        <rFont val="Arial"/>
        <family val="0"/>
        <charset val="1"/>
      </rPr>
      <t xml:space="preserve">26lb</t>
    </r>
    <r>
      <rPr>
        <sz val="10"/>
        <rFont val="Noto Sans CJK SC"/>
        <family val="2"/>
      </rPr>
      <t xml:space="preserve">壶铃俯卧撑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15lb</t>
    </r>
    <r>
      <rPr>
        <sz val="10"/>
        <rFont val="Noto Sans CJK SC"/>
        <family val="2"/>
      </rPr>
      <t xml:space="preserve">杆仰卧起坐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15lb</t>
    </r>
    <r>
      <rPr>
        <sz val="10"/>
        <rFont val="Noto Sans CJK SC"/>
        <family val="2"/>
      </rPr>
      <t xml:space="preserve">杆子划船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个来回</t>
    </r>
  </si>
  <si>
    <r>
      <rPr>
        <sz val="10"/>
        <rFont val="Arial"/>
        <family val="0"/>
        <charset val="1"/>
      </rPr>
      <t xml:space="preserve">Z-F</t>
    </r>
    <r>
      <rPr>
        <sz val="10"/>
        <rFont val="Noto Sans CJK SC"/>
        <family val="2"/>
      </rPr>
      <t xml:space="preserve">：综合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上肢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后背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腰腹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</si>
  <si>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握铃俯卧撑 — </t>
    </r>
    <r>
      <rPr>
        <sz val="10"/>
        <rFont val="Arial"/>
        <family val="0"/>
        <charset val="1"/>
      </rPr>
      <t xml:space="preserve">26 lb × 10
2. </t>
    </r>
    <r>
      <rPr>
        <sz val="10"/>
        <rFont val="Noto Sans CJK SC"/>
        <family val="2"/>
      </rPr>
      <t xml:space="preserve">仰卧起坐（可负重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转体） — 举</t>
    </r>
    <r>
      <rPr>
        <sz val="10"/>
        <rFont val="Arial"/>
        <family val="0"/>
        <charset val="1"/>
      </rPr>
      <t xml:space="preserve">15 lb</t>
    </r>
    <r>
      <rPr>
        <sz val="10"/>
        <rFont val="Noto Sans CJK SC"/>
        <family val="2"/>
      </rPr>
      <t xml:space="preserve">杆 </t>
    </r>
    <r>
      <rPr>
        <sz val="10"/>
        <rFont val="Arial"/>
        <family val="0"/>
        <charset val="1"/>
      </rPr>
      <t xml:space="preserve">× 15
3. </t>
    </r>
    <r>
      <rPr>
        <sz val="10"/>
        <rFont val="Noto Sans CJK SC"/>
        <family val="2"/>
      </rPr>
      <t xml:space="preserve">坐姿持杆划桨转体 — </t>
    </r>
    <r>
      <rPr>
        <sz val="10"/>
        <rFont val="Arial"/>
        <family val="0"/>
        <charset val="1"/>
      </rPr>
      <t xml:space="preserve">15 lb</t>
    </r>
    <r>
      <rPr>
        <sz val="10"/>
        <rFont val="Noto Sans CJK SC"/>
        <family val="2"/>
      </rPr>
      <t xml:space="preserve">杆 </t>
    </r>
    <r>
      <rPr>
        <sz val="10"/>
        <rFont val="Arial"/>
        <family val="0"/>
        <charset val="1"/>
      </rPr>
      <t xml:space="preserve">× 10/</t>
    </r>
    <r>
      <rPr>
        <sz val="10"/>
        <rFont val="Noto Sans CJK SC"/>
        <family val="2"/>
      </rPr>
      <t xml:space="preserve">侧</t>
    </r>
  </si>
  <si>
    <t xml:space="preserve">[1 round (circuit)]
1. Push-up on kettlebells / dumbbells — 26 lb × 10
2. Sit-up (weighted / with twist) — holding 15 lb bar overhead × 15
3. Seated bar paddle twist — 15 lb bar × 10 /side</t>
  </si>
  <si>
    <t xml:space="preserve">HPU11, CO01, CO16</t>
  </si>
  <si>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个快速深蹲坐</t>
    </r>
    <r>
      <rPr>
        <sz val="10"/>
        <rFont val="Arial"/>
        <family val="0"/>
        <charset val="1"/>
      </rPr>
      <t xml:space="preserve">18lb</t>
    </r>
    <r>
      <rPr>
        <sz val="10"/>
        <rFont val="Noto Sans CJK SC"/>
        <family val="2"/>
      </rPr>
      <t xml:space="preserve">球；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35lb</t>
    </r>
    <r>
      <rPr>
        <sz val="10"/>
        <rFont val="Noto Sans CJK SC"/>
        <family val="2"/>
      </rPr>
      <t xml:space="preserve">壶铃含胸下摆甩；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个快速深蹲；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个马步交叉步跳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</si>
  <si>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坐球深蹲 — </t>
    </r>
    <r>
      <rPr>
        <sz val="10"/>
        <rFont val="Arial"/>
        <family val="0"/>
        <charset val="1"/>
      </rPr>
      <t xml:space="preserve">18 lb</t>
    </r>
    <r>
      <rPr>
        <sz val="10"/>
        <rFont val="Noto Sans CJK SC"/>
        <family val="2"/>
      </rPr>
      <t xml:space="preserve">球 </t>
    </r>
    <r>
      <rPr>
        <sz val="10"/>
        <rFont val="Arial"/>
        <family val="0"/>
        <charset val="1"/>
      </rPr>
      <t xml:space="preserve">× 50</t>
    </r>
    <r>
      <rPr>
        <sz val="10"/>
        <rFont val="Noto Sans CJK SC"/>
        <family val="2"/>
      </rPr>
      <t xml:space="preserve">（快速）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壶铃摆荡 — </t>
    </r>
    <r>
      <rPr>
        <sz val="10"/>
        <rFont val="Arial"/>
        <family val="0"/>
        <charset val="1"/>
      </rPr>
      <t xml:space="preserve">35 lb × 25
3. </t>
    </r>
    <r>
      <rPr>
        <sz val="10"/>
        <rFont val="Noto Sans CJK SC"/>
        <family val="2"/>
      </rPr>
      <t xml:space="preserve">徒手深蹲 — </t>
    </r>
    <r>
      <rPr>
        <sz val="10"/>
        <rFont val="Arial"/>
        <family val="0"/>
        <charset val="1"/>
      </rPr>
      <t xml:space="preserve">× 25</t>
    </r>
    <r>
      <rPr>
        <sz val="10"/>
        <rFont val="Noto Sans CJK SC"/>
        <family val="2"/>
      </rPr>
      <t xml:space="preserve">（快速）
</t>
    </r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低位侧向交叉跳 — </t>
    </r>
    <r>
      <rPr>
        <sz val="10"/>
        <rFont val="Arial"/>
        <family val="0"/>
        <charset val="1"/>
      </rPr>
      <t xml:space="preserve">× 12</t>
    </r>
  </si>
  <si>
    <t xml:space="preserve">[1 round (circuit)]
1. Squat to med ball (box squat) — 18 lb ball × 50(fast)
2. Kettlebell swing (Russian) — 35 lb × 25
3. Air squat — × 25(fast)
4. Low-stance lateral crossover hop — × 12</t>
  </si>
  <si>
    <t xml:space="preserve">SQ09, HG05, SQ10, SL10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</si>
  <si>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:12</t>
    </r>
    <r>
      <rPr>
        <sz val="10"/>
        <rFont val="Noto Sans CJK SC"/>
        <family val="2"/>
      </rPr>
      <t xml:space="preserve">开肩全引体向上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+10</t>
    </r>
    <r>
      <rPr>
        <sz val="10"/>
        <rFont val="Noto Sans CJK SC"/>
        <family val="2"/>
      </rPr>
      <t xml:space="preserve">个单杠俯卧撑</t>
    </r>
    <r>
      <rPr>
        <sz val="10"/>
        <rFont val="Arial"/>
        <family val="0"/>
        <charset val="1"/>
      </rPr>
      <t xml:space="preserve">+12</t>
    </r>
    <r>
      <rPr>
        <sz val="10"/>
        <rFont val="Noto Sans CJK SC"/>
        <family val="2"/>
      </rPr>
      <t xml:space="preserve">收肩全引体向上</t>
    </r>
    <r>
      <rPr>
        <sz val="10"/>
        <rFont val="Arial"/>
        <family val="0"/>
        <charset val="1"/>
      </rPr>
      <t xml:space="preserve">+10</t>
    </r>
    <r>
      <rPr>
        <sz val="10"/>
        <rFont val="Noto Sans CJK SC"/>
        <family val="2"/>
      </rPr>
      <t xml:space="preserve">个单杠俯卧撑</t>
    </r>
  </si>
  <si>
    <t xml:space="preserve">Back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</si>
  <si>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辅助引体向上（宽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窄握） — 档位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宽握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斜杠俯卧撑 —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辅助引体向上（宽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窄握） — 档位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窄握 </t>
    </r>
    <r>
      <rPr>
        <sz val="10"/>
        <rFont val="Arial"/>
        <family val="0"/>
        <charset val="1"/>
      </rPr>
      <t xml:space="preserve">× 12
4. </t>
    </r>
    <r>
      <rPr>
        <sz val="10"/>
        <rFont val="Noto Sans CJK SC"/>
        <family val="2"/>
      </rPr>
      <t xml:space="preserve">斜杠俯卧撑 — </t>
    </r>
    <r>
      <rPr>
        <sz val="10"/>
        <rFont val="Arial"/>
        <family val="0"/>
        <charset val="1"/>
      </rPr>
      <t xml:space="preserve">× 10</t>
    </r>
  </si>
  <si>
    <t xml:space="preserve">[3 rounds (circuit)]
1. Assisted pull-up (wide / close grip) — level 12 wide grip × 10
2. Incline bar push-up — × 10
3. Assisted pull-up (wide / close grip) — level 12 close grip × 12
4. Incline bar push-up — × 10</t>
  </si>
  <si>
    <t xml:space="preserve">VPL01, HPU10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</si>
  <si>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组：</t>
    </r>
    <r>
      <rPr>
        <sz val="10"/>
        <rFont val="Arial"/>
        <family val="0"/>
        <charset val="1"/>
      </rPr>
      <t xml:space="preserve">45lb</t>
    </r>
    <r>
      <rPr>
        <sz val="10"/>
        <rFont val="Noto Sans CJK SC"/>
        <family val="2"/>
      </rPr>
      <t xml:space="preserve">窄肩坐推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个；</t>
    </r>
  </si>
  <si>
    <r>
      <rPr>
        <sz val="10"/>
        <rFont val="Arial"/>
        <family val="0"/>
        <charset val="1"/>
      </rPr>
      <t xml:space="preserve">C: </t>
    </r>
    <r>
      <rPr>
        <sz val="10"/>
        <rFont val="Noto Sans CJK SC"/>
        <family val="2"/>
      </rPr>
      <t xml:space="preserve">上肢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胸</t>
    </r>
  </si>
  <si>
    <t xml:space="preserve">Chest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</si>
  <si>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坐姿推胸机 — 窄握 </t>
    </r>
    <r>
      <rPr>
        <sz val="10"/>
        <rFont val="Arial"/>
        <family val="0"/>
        <charset val="1"/>
      </rPr>
      <t xml:space="preserve">45 lb × 6</t>
    </r>
  </si>
  <si>
    <t xml:space="preserve">[4 sets]
1. Seated chest press machine — close grip 45 lb × 6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</si>
  <si>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35lb</t>
    </r>
    <r>
      <rPr>
        <sz val="10"/>
        <rFont val="Noto Sans CJK SC"/>
        <family val="2"/>
      </rPr>
      <t xml:space="preserve">宽肩坐推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个，最后一组到极限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</si>
  <si>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坐姿推胸机 — 宽握 </t>
    </r>
    <r>
      <rPr>
        <sz val="10"/>
        <rFont val="Arial"/>
        <family val="0"/>
        <charset val="1"/>
      </rPr>
      <t xml:space="preserve">35 lb × 12</t>
    </r>
    <r>
      <rPr>
        <sz val="10"/>
        <rFont val="Noto Sans CJK SC"/>
        <family val="2"/>
      </rPr>
      <t xml:space="preserve">；最后一组力竭</t>
    </r>
  </si>
  <si>
    <t xml:space="preserve">[3 sets]
1. Seated chest press machine — wide grip 35 lb × 12; last set to failure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</si>
  <si>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每侧</t>
    </r>
    <r>
      <rPr>
        <sz val="10"/>
        <rFont val="Arial"/>
        <family val="0"/>
        <charset val="1"/>
      </rPr>
      <t xml:space="preserve">40lb </t>
    </r>
    <r>
      <rPr>
        <sz val="10"/>
        <rFont val="Noto Sans CJK SC"/>
        <family val="2"/>
      </rPr>
      <t xml:space="preserve">杠铃深蹲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秒起立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</si>
  <si>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杠铃后蹲 — 每侧</t>
    </r>
    <r>
      <rPr>
        <sz val="10"/>
        <rFont val="Arial"/>
        <family val="0"/>
        <charset val="1"/>
      </rPr>
      <t xml:space="preserve">40 lb</t>
    </r>
    <r>
      <rPr>
        <sz val="10"/>
        <rFont val="Noto Sans CJK SC"/>
        <family val="2"/>
      </rPr>
      <t xml:space="preserve">（总≈</t>
    </r>
    <r>
      <rPr>
        <sz val="10"/>
        <rFont val="Arial"/>
        <family val="0"/>
        <charset val="1"/>
      </rPr>
      <t xml:space="preserve">125 lb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秒下放</t>
    </r>
  </si>
  <si>
    <t xml:space="preserve">[3 sets]
1. Barbell back squat — per side 40 lb (total ≈125 lb), 3-s lowering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</si>
  <si>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:20lb</t>
    </r>
    <r>
      <rPr>
        <sz val="10"/>
        <rFont val="Noto Sans CJK SC"/>
        <family val="2"/>
      </rPr>
      <t xml:space="preserve">每侧腿单腿折叠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+ 1min: </t>
    </r>
    <r>
      <rPr>
        <sz val="10"/>
        <rFont val="Noto Sans CJK SC"/>
        <family val="2"/>
      </rPr>
      <t xml:space="preserve">双腿折叠坚持</t>
    </r>
    <r>
      <rPr>
        <sz val="10"/>
        <rFont val="Arial"/>
        <family val="0"/>
        <charset val="1"/>
      </rPr>
      <t xml:space="preserve">160lb</t>
    </r>
  </si>
  <si>
    <r>
      <rPr>
        <sz val="10"/>
        <rFont val="Arial"/>
        <family val="0"/>
        <charset val="1"/>
      </rPr>
      <t xml:space="preserve">Z-A</t>
    </r>
    <r>
      <rPr>
        <sz val="10"/>
        <rFont val="Noto Sans CJK SC"/>
        <family val="2"/>
      </rPr>
      <t xml:space="preserve">：综合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下肢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腿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上下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</si>
  <si>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腿屈伸 — 单腿 </t>
    </r>
    <r>
      <rPr>
        <sz val="10"/>
        <rFont val="Arial"/>
        <family val="0"/>
        <charset val="1"/>
      </rPr>
      <t xml:space="preserve">20 lb × 12/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腿举等长保持 — </t>
    </r>
    <r>
      <rPr>
        <sz val="10"/>
        <rFont val="Arial"/>
        <family val="0"/>
        <charset val="1"/>
      </rPr>
      <t xml:space="preserve">160 lb </t>
    </r>
    <r>
      <rPr>
        <sz val="10"/>
        <rFont val="Noto Sans CJK SC"/>
        <family val="2"/>
      </rPr>
      <t xml:space="preserve">保持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</t>
    </r>
  </si>
  <si>
    <t xml:space="preserve">[3 sets]
1. Leg extension — single-leg 20 lb × 12 /side
2. Leg press isometric hold — 160 lb hold 1 min</t>
  </si>
  <si>
    <t xml:space="preserve">SQ08, SQ07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</si>
  <si>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15lb</t>
    </r>
    <r>
      <rPr>
        <sz val="10"/>
        <rFont val="Noto Sans CJK SC"/>
        <family val="2"/>
      </rPr>
      <t xml:space="preserve">哑铃从垂直位举到与地面平行，打开手肘与地面平行，平行伸直小臂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</si>
  <si>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D: </t>
    </r>
    <r>
      <rPr>
        <sz val="10"/>
        <rFont val="Noto Sans CJK SC"/>
        <family val="2"/>
      </rPr>
      <t xml:space="preserve">肩</t>
    </r>
  </si>
  <si>
    <t xml:space="preserve">Shoulders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</si>
  <si>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哑铃三段肩部组合（古巴推举式） — </t>
    </r>
    <r>
      <rPr>
        <sz val="10"/>
        <rFont val="Arial"/>
        <family val="0"/>
        <charset val="1"/>
      </rPr>
      <t xml:space="preserve">15 lb × 10</t>
    </r>
  </si>
  <si>
    <t xml:space="preserve">[3 sets]
1. Dumbbell Cuban-press complex — 15 lb × 10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</si>
  <si>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15lb</t>
    </r>
    <r>
      <rPr>
        <sz val="10"/>
        <rFont val="Noto Sans CJK SC"/>
        <family val="2"/>
      </rPr>
      <t xml:space="preserve">哑铃强侧平行地面直举，弱侧交替向前和水平平举各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次，强弱侧交换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</si>
  <si>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侧平举（对侧静力） — </t>
    </r>
    <r>
      <rPr>
        <sz val="10"/>
        <rFont val="Arial"/>
        <family val="0"/>
        <charset val="1"/>
      </rPr>
      <t xml:space="preserve">15 lb × 10/</t>
    </r>
    <r>
      <rPr>
        <sz val="10"/>
        <rFont val="Noto Sans CJK SC"/>
        <family val="2"/>
      </rPr>
      <t xml:space="preserve">侧</t>
    </r>
  </si>
  <si>
    <t xml:space="preserve">[2 sets]
1. Front &amp; lateral raise with contralateral iso-hold — 15 lb × 10 /side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</si>
  <si>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跪地悬挂绳牵引开背展腹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平躺曲腿仰卧起坐拽悬挂绳接引体向上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</si>
  <si>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悬挂带跪姿展腹 — </t>
    </r>
    <r>
      <rPr>
        <sz val="10"/>
        <rFont val="Arial"/>
        <family val="0"/>
        <charset val="1"/>
      </rPr>
      <t xml:space="preserve">× 15
2. </t>
    </r>
    <r>
      <rPr>
        <sz val="10"/>
        <rFont val="Noto Sans CJK SC"/>
        <family val="2"/>
      </rPr>
      <t xml:space="preserve">悬挂带辅助起坐接拉 — </t>
    </r>
    <r>
      <rPr>
        <sz val="10"/>
        <rFont val="Arial"/>
        <family val="0"/>
        <charset val="1"/>
      </rPr>
      <t xml:space="preserve">× 10</t>
    </r>
  </si>
  <si>
    <t xml:space="preserve">[3 sets]
1. Suspension kneeling fallout — × 15
2. Suspension-assisted sit-up to pull — × 10</t>
  </si>
  <si>
    <t xml:space="preserve">CO04, CO05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</si>
  <si>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沙包举过头马步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个；沙包负重低胯牵引橡筋每侧腿爬四格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次</t>
    </r>
  </si>
  <si>
    <r>
      <rPr>
        <sz val="10"/>
        <rFont val="Arial"/>
        <family val="0"/>
        <charset val="1"/>
      </rPr>
      <t xml:space="preserve">Z-A</t>
    </r>
    <r>
      <rPr>
        <sz val="10"/>
        <rFont val="Noto Sans CJK SC"/>
        <family val="2"/>
      </rPr>
      <t xml:space="preserve">：综合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下肢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腿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外侧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</si>
  <si>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过头沙袋深蹲 —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弹力带侧向行走 — 抱沙袋，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步 </t>
    </r>
    <r>
      <rPr>
        <sz val="10"/>
        <rFont val="Arial"/>
        <family val="0"/>
        <charset val="1"/>
      </rPr>
      <t xml:space="preserve">× 5/</t>
    </r>
    <r>
      <rPr>
        <sz val="10"/>
        <rFont val="Noto Sans CJK SC"/>
        <family val="2"/>
      </rPr>
      <t xml:space="preserve">侧</t>
    </r>
  </si>
  <si>
    <t xml:space="preserve">[3 sets]
1. Overhead sandbag squat — × 10
2. Banded lateral walk (monster walk) — holding sandbag, 4 steps × 5 /side</t>
  </si>
  <si>
    <t xml:space="preserve">SQ11, SL05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</si>
  <si>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沙包过头直举低膝马步交叉步一个来回；小车脚后跟前进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个来回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</si>
  <si>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交叉步（屈膝礼）弓步行进 — 沙袋过头，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趟往返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滚轮凳脚跟拖行 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趟往返</t>
    </r>
  </si>
  <si>
    <t xml:space="preserve">[2 sets]
1. Walking curtsy (crossover) lunge — sandbag overhead, 1 lap there &amp; back
2. Rolling-stool hamstring walk — 3 laps</t>
  </si>
  <si>
    <t xml:space="preserve">SL04, HG07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</si>
  <si>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30lb</t>
    </r>
    <r>
      <rPr>
        <sz val="10"/>
        <rFont val="Noto Sans CJK SC"/>
        <family val="2"/>
      </rPr>
      <t xml:space="preserve">小杠铃部队上举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50lb</t>
    </r>
    <r>
      <rPr>
        <sz val="10"/>
        <rFont val="Noto Sans CJK SC"/>
        <family val="2"/>
      </rPr>
      <t xml:space="preserve">小杠铃立臀直腰拉后背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</si>
  <si>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杠铃站姿推举（军式推举） — </t>
    </r>
    <r>
      <rPr>
        <sz val="10"/>
        <rFont val="Arial"/>
        <family val="0"/>
        <charset val="1"/>
      </rPr>
      <t xml:space="preserve">30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杠铃俯身划船（正握） — </t>
    </r>
    <r>
      <rPr>
        <sz val="10"/>
        <rFont val="Arial"/>
        <family val="0"/>
        <charset val="1"/>
      </rPr>
      <t xml:space="preserve">50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10</t>
    </r>
  </si>
  <si>
    <t xml:space="preserve">[3 sets]
1. Barbell overhead / military press — 30 lb fixed bar × 10
2. Barbell bent-over row (overhand) — 50 lb fixed bar × 10</t>
  </si>
  <si>
    <t xml:space="preserve">VPU01, HPL02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</si>
  <si>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20lb</t>
    </r>
    <r>
      <rPr>
        <sz val="10"/>
        <rFont val="Noto Sans CJK SC"/>
        <family val="2"/>
      </rPr>
      <t xml:space="preserve">哑铃胸前交叉过肩举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个；完全垂手上举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</si>
  <si>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B-1</t>
    </r>
    <r>
      <rPr>
        <sz val="10"/>
        <rFont val="Noto Sans CJK SC"/>
        <family val="2"/>
      </rPr>
      <t xml:space="preserve">：上肢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二头</t>
    </r>
  </si>
  <si>
    <t xml:space="preserve">Biceps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</si>
  <si>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交叉锤式弯举 — </t>
    </r>
    <r>
      <rPr>
        <sz val="10"/>
        <rFont val="Arial"/>
        <family val="0"/>
        <charset val="1"/>
      </rPr>
      <t xml:space="preserve">20 lb × 10
2. </t>
    </r>
    <r>
      <rPr>
        <sz val="10"/>
        <rFont val="Noto Sans CJK SC"/>
        <family val="2"/>
      </rPr>
      <t xml:space="preserve">哑铃弯举（全幅度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锁肘） — </t>
    </r>
    <r>
      <rPr>
        <sz val="10"/>
        <rFont val="Arial"/>
        <family val="0"/>
        <charset val="1"/>
      </rPr>
      <t xml:space="preserve">× 8</t>
    </r>
  </si>
  <si>
    <t xml:space="preserve">[4 sets]
1. Cross-body hammer curl — 20 lb × 10
2. Dumbbell curl (full ROM, fixed elbow) — × 8</t>
  </si>
  <si>
    <t xml:space="preserve">BI01, BI02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</si>
  <si>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35lb</t>
    </r>
    <r>
      <rPr>
        <sz val="10"/>
        <rFont val="Noto Sans CJK SC"/>
        <family val="2"/>
      </rPr>
      <t xml:space="preserve">哑铃斜坡卧推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20lb</t>
    </r>
    <r>
      <rPr>
        <sz val="10"/>
        <rFont val="Noto Sans CJK SC"/>
        <family val="2"/>
      </rPr>
      <t xml:space="preserve">卧位飞鸟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</si>
  <si>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上斜哑铃卧推 — </t>
    </r>
    <r>
      <rPr>
        <sz val="10"/>
        <rFont val="Arial"/>
        <family val="0"/>
        <charset val="1"/>
      </rPr>
      <t xml:space="preserve">35 lb × 10
2. </t>
    </r>
    <r>
      <rPr>
        <sz val="10"/>
        <rFont val="Noto Sans CJK SC"/>
        <family val="2"/>
      </rPr>
      <t xml:space="preserve">哑铃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壶铃飞鸟 — </t>
    </r>
    <r>
      <rPr>
        <sz val="10"/>
        <rFont val="Arial"/>
        <family val="0"/>
        <charset val="1"/>
      </rPr>
      <t xml:space="preserve">20 lb × 15</t>
    </r>
  </si>
  <si>
    <t xml:space="preserve">[3 sets]
1. Incline dumbbell press — 35 lb × 10
2. Dumbbell flye — 20 lb × 15</t>
  </si>
  <si>
    <t xml:space="preserve">HPU05, HPU06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</si>
  <si>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:35lb</t>
    </r>
    <r>
      <rPr>
        <sz val="10"/>
        <rFont val="Noto Sans CJK SC"/>
        <family val="2"/>
      </rPr>
      <t xml:space="preserve">小杠铃锁肘卧位后垂直臂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个；挺举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</si>
  <si>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B-2</t>
    </r>
    <r>
      <rPr>
        <sz val="10"/>
        <rFont val="Noto Sans CJK SC"/>
        <family val="2"/>
      </rPr>
      <t xml:space="preserve">：上肢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三头</t>
    </r>
  </si>
  <si>
    <r>
      <rPr>
        <sz val="10"/>
        <rFont val="Noto Sans CJK SC"/>
        <family val="2"/>
      </rPr>
      <t xml:space="preserve">三头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肩</t>
    </r>
  </si>
  <si>
    <t xml:space="preserve">Triceps + Shoulders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</si>
  <si>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仰卧臂屈伸（碎颅者） — </t>
    </r>
    <r>
      <rPr>
        <sz val="10"/>
        <rFont val="Arial"/>
        <family val="0"/>
        <charset val="1"/>
      </rPr>
      <t xml:space="preserve">35 lb × 10
2. </t>
    </r>
    <r>
      <rPr>
        <sz val="10"/>
        <rFont val="Noto Sans CJK SC"/>
        <family val="2"/>
      </rPr>
      <t xml:space="preserve">杠铃挺举 — </t>
    </r>
    <r>
      <rPr>
        <sz val="10"/>
        <rFont val="Arial"/>
        <family val="0"/>
        <charset val="1"/>
      </rPr>
      <t xml:space="preserve">× 10</t>
    </r>
  </si>
  <si>
    <t xml:space="preserve">[3 sets]
1. Skull crusher (lying triceps extension) — 35 lb × 10
2. Barbell jerk — × 10</t>
  </si>
  <si>
    <t xml:space="preserve">TR01, VPU06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</si>
  <si>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45lb</t>
    </r>
    <r>
      <rPr>
        <sz val="10"/>
        <rFont val="Noto Sans CJK SC"/>
        <family val="2"/>
      </rPr>
      <t xml:space="preserve">壶铃交叉每侧拉大腿内侧筋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个；平躺两头起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个；小滚轮跪地弓背前滑后拉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</si>
  <si>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：综合</t>
    </r>
  </si>
  <si>
    <r>
      <rPr>
        <sz val="10"/>
        <rFont val="Noto Sans CJK SC"/>
        <family val="2"/>
      </rPr>
      <t xml:space="preserve">腿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核心</t>
    </r>
  </si>
  <si>
    <t xml:space="preserve">Legs + Core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</si>
  <si>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哥萨克深蹲 — </t>
    </r>
    <r>
      <rPr>
        <sz val="10"/>
        <rFont val="Arial"/>
        <family val="0"/>
        <charset val="1"/>
      </rPr>
      <t xml:space="preserve">45 lb × 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2. V</t>
    </r>
    <r>
      <rPr>
        <sz val="10"/>
        <rFont val="Noto Sans CJK SC"/>
        <family val="2"/>
      </rPr>
      <t xml:space="preserve">字两头起 —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跪姿健腹轮 — </t>
    </r>
    <r>
      <rPr>
        <sz val="10"/>
        <rFont val="Arial"/>
        <family val="0"/>
        <charset val="1"/>
      </rPr>
      <t xml:space="preserve">× 10</t>
    </r>
  </si>
  <si>
    <t xml:space="preserve">[3 sets]
1. Cossack squat — 45 lb × 10 /side
2. V-up — × 10
3. Ab wheel rollout (kneeling) — × 10</t>
  </si>
  <si>
    <t xml:space="preserve">SL03, CO02, CO03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</si>
  <si>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:15</t>
    </r>
    <r>
      <rPr>
        <sz val="10"/>
        <rFont val="Noto Sans CJK SC"/>
        <family val="2"/>
      </rPr>
      <t xml:space="preserve">斜度，速度</t>
    </r>
    <r>
      <rPr>
        <sz val="10"/>
        <rFont val="Arial"/>
        <family val="0"/>
        <charset val="1"/>
      </rPr>
      <t xml:space="preserve">5+</t>
    </r>
    <r>
      <rPr>
        <sz val="10"/>
        <rFont val="Noto Sans CJK SC"/>
        <family val="2"/>
      </rPr>
      <t xml:space="preserve">一分钟</t>
    </r>
    <r>
      <rPr>
        <sz val="10"/>
        <rFont val="Arial"/>
        <family val="0"/>
        <charset val="1"/>
      </rPr>
      <t xml:space="preserve">+15</t>
    </r>
    <r>
      <rPr>
        <sz val="10"/>
        <rFont val="Noto Sans CJK SC"/>
        <family val="2"/>
      </rPr>
      <t xml:space="preserve">斜度，速度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一分钟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</si>
  <si>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：热身</t>
    </r>
  </si>
  <si>
    <t xml:space="preserve">热身</t>
  </si>
  <si>
    <t xml:space="preserve">Warm-up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</si>
  <si>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跑步机坡度间歇 — 坡度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：速度</t>
    </r>
    <r>
      <rPr>
        <sz val="10"/>
        <rFont val="Arial"/>
        <family val="0"/>
        <charset val="1"/>
      </rPr>
      <t xml:space="preserve">5 × 1</t>
    </r>
    <r>
      <rPr>
        <sz val="10"/>
        <rFont val="Noto Sans CJK SC"/>
        <family val="2"/>
      </rPr>
      <t xml:space="preserve">分钟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速度</t>
    </r>
    <r>
      <rPr>
        <sz val="10"/>
        <rFont val="Arial"/>
        <family val="0"/>
        <charset val="1"/>
      </rPr>
      <t xml:space="preserve">2 × 1</t>
    </r>
    <r>
      <rPr>
        <sz val="10"/>
        <rFont val="Noto Sans CJK SC"/>
        <family val="2"/>
      </rPr>
      <t xml:space="preserve">分钟</t>
    </r>
  </si>
  <si>
    <r>
      <rPr>
        <sz val="10"/>
        <rFont val="Arial"/>
        <family val="0"/>
        <charset val="1"/>
      </rPr>
      <t xml:space="preserve">[5 rounds (circuit)]
1. Treadmill incline intervals — incline 15%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speed 5 × 1 min + speed 2 × 1 min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</si>
  <si>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25lb</t>
    </r>
    <r>
      <rPr>
        <sz val="10"/>
        <rFont val="Noto Sans CJK SC"/>
        <family val="2"/>
      </rPr>
      <t xml:space="preserve">壶铃单腿悬挂马步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60lb</t>
    </r>
    <r>
      <rPr>
        <sz val="10"/>
        <rFont val="Noto Sans CJK SC"/>
        <family val="2"/>
      </rPr>
      <t xml:space="preserve">大腿正面上提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</si>
  <si>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A-2</t>
    </r>
    <r>
      <rPr>
        <sz val="10"/>
        <rFont val="Noto Sans CJK SC"/>
        <family val="2"/>
      </rPr>
      <t xml:space="preserve">：下肢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腿正面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</si>
  <si>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保加利亚分腿蹲 — </t>
    </r>
    <r>
      <rPr>
        <sz val="10"/>
        <rFont val="Arial"/>
        <family val="0"/>
        <charset val="1"/>
      </rPr>
      <t xml:space="preserve">25 lb × 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腿屈伸 — </t>
    </r>
    <r>
      <rPr>
        <sz val="10"/>
        <rFont val="Arial"/>
        <family val="0"/>
        <charset val="1"/>
      </rPr>
      <t xml:space="preserve">60 lb × 15</t>
    </r>
  </si>
  <si>
    <t xml:space="preserve">[3 sets]
1. Bulgarian split squat — 25 lb × 10 /side
2. Leg extension — 60 lb × 15</t>
  </si>
  <si>
    <t xml:space="preserve">SL01, SQ08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</si>
  <si>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:10</t>
    </r>
    <r>
      <rPr>
        <sz val="10"/>
        <rFont val="Noto Sans CJK SC"/>
        <family val="2"/>
      </rPr>
      <t xml:space="preserve">级全引体向上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50lb</t>
    </r>
    <r>
      <rPr>
        <sz val="10"/>
        <rFont val="Noto Sans CJK SC"/>
        <family val="2"/>
      </rPr>
      <t xml:space="preserve">部队上举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</si>
  <si>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辅助引体向上（宽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窄握） — 档位</t>
    </r>
    <r>
      <rPr>
        <sz val="10"/>
        <rFont val="Arial"/>
        <family val="0"/>
        <charset val="1"/>
      </rPr>
      <t xml:space="preserve">10 × 10
2. </t>
    </r>
    <r>
      <rPr>
        <sz val="10"/>
        <rFont val="Noto Sans CJK SC"/>
        <family val="2"/>
      </rPr>
      <t xml:space="preserve">杠铃站姿推举（军式推举） — </t>
    </r>
    <r>
      <rPr>
        <sz val="10"/>
        <rFont val="Arial"/>
        <family val="0"/>
        <charset val="1"/>
      </rPr>
      <t xml:space="preserve">50 lb × 10</t>
    </r>
  </si>
  <si>
    <t xml:space="preserve">[3 sets]
1. Assisted pull-up (wide / close grip) — level 10 × 10
2. Barbell overhead / military press — 50 lb × 10</t>
  </si>
  <si>
    <t xml:space="preserve">VPL01, VPU01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</si>
  <si>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坐推</t>
    </r>
    <r>
      <rPr>
        <sz val="10"/>
        <rFont val="Arial"/>
        <family val="0"/>
        <charset val="1"/>
      </rPr>
      <t xml:space="preserve">45lb </t>
    </r>
    <r>
      <rPr>
        <sz val="10"/>
        <rFont val="Noto Sans CJK SC"/>
        <family val="2"/>
      </rPr>
      <t xml:space="preserve">十个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</si>
  <si>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坐姿推胸机 — </t>
    </r>
    <r>
      <rPr>
        <sz val="10"/>
        <rFont val="Arial"/>
        <family val="0"/>
        <charset val="1"/>
      </rPr>
      <t xml:space="preserve">45 lb × 10</t>
    </r>
  </si>
  <si>
    <t xml:space="preserve">[4 sets]
1. Seated chest press machine — 45 lb × 10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</si>
  <si>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坐位屈膝后拉背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60</t>
    </r>
  </si>
  <si>
    <r>
      <rPr>
        <sz val="10"/>
        <rFont val="Arial"/>
        <family val="0"/>
        <charset val="1"/>
      </rPr>
      <t xml:space="preserve">E:</t>
    </r>
    <r>
      <rPr>
        <sz val="10"/>
        <rFont val="Noto Sans CJK SC"/>
        <family val="2"/>
      </rPr>
      <t xml:space="preserve">背</t>
    </r>
  </si>
  <si>
    <r>
      <rPr>
        <sz val="10"/>
        <rFont val="Noto Sans CJK SC"/>
        <family val="2"/>
      </rPr>
      <t xml:space="preserve">【递减金字塔】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坐姿绳索划船 — </t>
    </r>
    <r>
      <rPr>
        <sz val="10"/>
        <rFont val="Arial"/>
        <family val="0"/>
        <charset val="1"/>
      </rPr>
      <t xml:space="preserve">100 lb×6 → 90×8 → 70×10 → 60×12</t>
    </r>
  </si>
  <si>
    <t xml:space="preserve">[Reverse pyramid]
1. Seated cable row — 100 lb ×6 → 90×8 → 70×10 → 60×12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</si>
  <si>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单侧</t>
    </r>
    <r>
      <rPr>
        <sz val="10"/>
        <rFont val="Arial"/>
        <family val="0"/>
        <charset val="1"/>
      </rPr>
      <t xml:space="preserve">90lb</t>
    </r>
    <r>
      <rPr>
        <sz val="10"/>
        <rFont val="Noto Sans CJK SC"/>
        <family val="2"/>
      </rPr>
      <t xml:space="preserve">深蹲机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个；展腹跳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</si>
  <si>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深蹲机（哈克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史密斯） — 每侧</t>
    </r>
    <r>
      <rPr>
        <sz val="10"/>
        <rFont val="Arial"/>
        <family val="0"/>
        <charset val="1"/>
      </rPr>
      <t xml:space="preserve">90 lb × 10
2. </t>
    </r>
    <r>
      <rPr>
        <sz val="10"/>
        <rFont val="Noto Sans CJK SC"/>
        <family val="2"/>
      </rPr>
      <t xml:space="preserve">星跳 — </t>
    </r>
    <r>
      <rPr>
        <sz val="10"/>
        <rFont val="Arial"/>
        <family val="0"/>
        <charset val="1"/>
      </rPr>
      <t xml:space="preserve">× 15</t>
    </r>
  </si>
  <si>
    <t xml:space="preserve">[3 sets]
1. Squat machine (hack / Smith) — per side 90 lb × 10
2. Star jump — × 15</t>
  </si>
  <si>
    <t xml:space="preserve">SQ05, PW14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</si>
  <si>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战绳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个；直腿手够脚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个；直腿后画弧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</si>
  <si>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Arial"/>
        <family val="0"/>
        <charset val="1"/>
      </rPr>
      <t xml:space="preserve">F:</t>
    </r>
    <r>
      <rPr>
        <sz val="10"/>
        <rFont val="Noto Sans CJK SC"/>
        <family val="2"/>
      </rPr>
      <t xml:space="preserve">腰腹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</si>
  <si>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战绳 — </t>
    </r>
    <r>
      <rPr>
        <sz val="10"/>
        <rFont val="Arial"/>
        <family val="0"/>
        <charset val="1"/>
      </rPr>
      <t xml:space="preserve">× 15
2. </t>
    </r>
    <r>
      <rPr>
        <sz val="10"/>
        <rFont val="Noto Sans CJK SC"/>
        <family val="2"/>
      </rPr>
      <t xml:space="preserve">仰卧直腿够脚尖 —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仰卧直腿雨刷 — </t>
    </r>
    <r>
      <rPr>
        <sz val="10"/>
        <rFont val="Arial"/>
        <family val="0"/>
        <charset val="1"/>
      </rPr>
      <t xml:space="preserve">× 10</t>
    </r>
  </si>
  <si>
    <t xml:space="preserve">[3 sets]
1. Battle ropes — × 15
2. Lying toe-touch crunch — × 10
3. Lying windshield wiper — × 10</t>
  </si>
  <si>
    <t xml:space="preserve">PW08, CO09, CO10</t>
  </si>
  <si>
    <t xml:space="preserve">一个来回：大跨步交叉步膝盖点地，对侧手上举，拉大腿内筋；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</si>
  <si>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交叉步（屈膝礼）弓步行进 — 自重，后膝点地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对侧手上举，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</t>
    </r>
  </si>
  <si>
    <t xml:space="preserve">[1 lap]
1. Walking curtsy (crossover) lunge — bodyweight, back knee taps floor + opposite arm overhead, 1 lap</t>
  </si>
  <si>
    <t xml:space="preserve">一个来回：俯卧撑后跳步低蹲马步再接俯卧撑；到头后俯卧撑接跳步收步马步接俯卧撑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</si>
  <si>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趟往返】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蛙跳低蹲行进 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趟往返</t>
    </r>
  </si>
  <si>
    <t xml:space="preserve">[1 lap there &amp; back]
1. Push-up + frog-hop low squat (traveling) — 1 lap there &amp; back</t>
  </si>
  <si>
    <r>
      <rPr>
        <sz val="10"/>
        <rFont val="Arial"/>
        <family val="0"/>
        <charset val="1"/>
      </rPr>
      <t xml:space="preserve">15-12-9-6-3:</t>
    </r>
    <r>
      <rPr>
        <sz val="10"/>
        <rFont val="Noto Sans CJK SC"/>
        <family val="2"/>
      </rPr>
      <t xml:space="preserve">双侧</t>
    </r>
    <r>
      <rPr>
        <sz val="10"/>
        <rFont val="Arial"/>
        <family val="0"/>
        <charset val="1"/>
      </rPr>
      <t xml:space="preserve">45lb</t>
    </r>
    <r>
      <rPr>
        <sz val="10"/>
        <rFont val="Noto Sans CJK SC"/>
        <family val="2"/>
      </rPr>
      <t xml:space="preserve">大杠铃深蹲；胸贴地跳接跳箱子；部队上举</t>
    </r>
    <r>
      <rPr>
        <sz val="10"/>
        <rFont val="Arial"/>
        <family val="0"/>
        <charset val="1"/>
      </rPr>
      <t xml:space="preserve">50lb</t>
    </r>
  </si>
  <si>
    <r>
      <rPr>
        <sz val="10"/>
        <rFont val="Noto Sans CJK SC"/>
        <family val="2"/>
      </rPr>
      <t xml:space="preserve">【阶梯 </t>
    </r>
    <r>
      <rPr>
        <sz val="10"/>
        <rFont val="Arial"/>
        <family val="0"/>
        <charset val="1"/>
      </rPr>
      <t xml:space="preserve">15-12-9-6-3</t>
    </r>
    <r>
      <rPr>
        <sz val="10"/>
        <rFont val="Noto Sans CJK SC"/>
        <family val="2"/>
      </rPr>
      <t xml:space="preserve">（每轮各动作做对应次数）】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杠铃后蹲 — 每侧</t>
    </r>
    <r>
      <rPr>
        <sz val="10"/>
        <rFont val="Arial"/>
        <family val="0"/>
        <charset val="1"/>
      </rPr>
      <t xml:space="preserve">45 lb</t>
    </r>
    <r>
      <rPr>
        <sz val="10"/>
        <rFont val="Noto Sans CJK SC"/>
        <family val="2"/>
      </rPr>
      <t xml:space="preserve">（总</t>
    </r>
    <r>
      <rPr>
        <sz val="10"/>
        <rFont val="Arial"/>
        <family val="0"/>
        <charset val="1"/>
      </rPr>
      <t xml:space="preserve">135 lb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波比跳上箱 — 自重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杠铃站姿推举（军式推举） — </t>
    </r>
    <r>
      <rPr>
        <sz val="10"/>
        <rFont val="Arial"/>
        <family val="0"/>
        <charset val="1"/>
      </rPr>
      <t xml:space="preserve">50 lb</t>
    </r>
  </si>
  <si>
    <t xml:space="preserve">[Ladder 15-12-9-6-3 reps]
1. Barbell back squat — per side 45 lb (total 135 lb)
2. Burpee box jump — bodyweight
3. Barbell overhead / military press — 50 lb</t>
  </si>
  <si>
    <t xml:space="preserve">SQ01, PW02, VPU01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</si>
  <si>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10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25lb</t>
    </r>
    <r>
      <rPr>
        <sz val="10"/>
        <rFont val="Noto Sans CJK SC"/>
        <family val="2"/>
      </rPr>
      <t xml:space="preserve">小壶铃马步深蹲；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个深蹲球砸墙；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个悬挂单杠；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25lb</t>
    </r>
    <r>
      <rPr>
        <sz val="10"/>
        <rFont val="Noto Sans CJK SC"/>
        <family val="2"/>
      </rPr>
      <t xml:space="preserve">哑铃开腿俯卧撑后拉背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</si>
  <si>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相扑（马步）深蹲 — </t>
    </r>
    <r>
      <rPr>
        <sz val="10"/>
        <rFont val="Arial"/>
        <family val="0"/>
        <charset val="1"/>
      </rPr>
      <t xml:space="preserve">25 lb × 10
2. </t>
    </r>
    <r>
      <rPr>
        <sz val="10"/>
        <rFont val="Noto Sans CJK SC"/>
        <family val="2"/>
      </rPr>
      <t xml:space="preserve">药球墙球 — </t>
    </r>
    <r>
      <rPr>
        <sz val="10"/>
        <rFont val="Arial"/>
        <family val="0"/>
        <charset val="1"/>
      </rPr>
      <t xml:space="preserve">× 15
3. </t>
    </r>
    <r>
      <rPr>
        <sz val="10"/>
        <rFont val="Noto Sans CJK SC"/>
        <family val="2"/>
      </rPr>
      <t xml:space="preserve">悬垂卷腹 — </t>
    </r>
    <r>
      <rPr>
        <sz val="10"/>
        <rFont val="Arial"/>
        <family val="0"/>
        <charset val="1"/>
      </rPr>
      <t xml:space="preserve">× 10
4. </t>
    </r>
    <r>
      <rPr>
        <sz val="10"/>
        <rFont val="Noto Sans CJK SC"/>
        <family val="2"/>
      </rPr>
      <t xml:space="preserve">俯卧撑划船（叛逆者划船） — </t>
    </r>
    <r>
      <rPr>
        <sz val="10"/>
        <rFont val="Arial"/>
        <family val="0"/>
        <charset val="1"/>
      </rPr>
      <t xml:space="preserve">25 lb </t>
    </r>
    <r>
      <rPr>
        <sz val="10"/>
        <rFont val="Noto Sans CJK SC"/>
        <family val="2"/>
      </rPr>
      <t xml:space="preserve">宽站距 </t>
    </r>
    <r>
      <rPr>
        <sz val="10"/>
        <rFont val="Arial"/>
        <family val="0"/>
        <charset val="1"/>
      </rPr>
      <t xml:space="preserve">× 10</t>
    </r>
  </si>
  <si>
    <t xml:space="preserve">[3 rounds (circuit)]
1. Sumo squat (KB or bodyweight) — 25 lb × 10
2. Wall ball — × 15
3. Hanging knee raise / crunch — × 10
4. Renegade row — 25 lb wide stance × 10</t>
  </si>
  <si>
    <t xml:space="preserve">SQ04, PW03, CO07, HPL07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</si>
  <si>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10lb</t>
    </r>
    <r>
      <rPr>
        <sz val="10"/>
        <rFont val="Noto Sans CJK SC"/>
        <family val="2"/>
      </rPr>
      <t xml:space="preserve">小壶铃飞鸟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个；橡筋捆膝开腿臀部贴地向上止腰挺直坚持</t>
    </r>
    <r>
      <rPr>
        <sz val="10"/>
        <rFont val="Arial"/>
        <family val="0"/>
        <charset val="1"/>
      </rPr>
      <t xml:space="preserve">3s</t>
    </r>
    <r>
      <rPr>
        <sz val="10"/>
        <rFont val="Noto Sans CJK SC"/>
        <family val="2"/>
      </rPr>
      <t xml:space="preserve">共十个；膝盖夹球背贴墙横杆马步上举直臂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</si>
  <si>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哑铃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壶铃飞鸟 — </t>
    </r>
    <r>
      <rPr>
        <sz val="10"/>
        <rFont val="Arial"/>
        <family val="0"/>
        <charset val="1"/>
      </rPr>
      <t xml:space="preserve">10 lb</t>
    </r>
    <r>
      <rPr>
        <sz val="10"/>
        <rFont val="Noto Sans CJK SC"/>
        <family val="2"/>
      </rPr>
      <t xml:space="preserve">壶铃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弹力带臀桥（外展） — </t>
    </r>
    <r>
      <rPr>
        <sz val="10"/>
        <rFont val="Arial"/>
        <family val="0"/>
        <charset val="1"/>
      </rPr>
      <t xml:space="preserve">× 10</t>
    </r>
    <r>
      <rPr>
        <sz val="10"/>
        <rFont val="Noto Sans CJK SC"/>
        <family val="2"/>
      </rPr>
      <t xml:space="preserve">，顶点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靠墙静蹲（夹球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举杆） — 膝夹球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直臂举杆</t>
    </r>
  </si>
  <si>
    <t xml:space="preserve">[2 rounds (circuit)]
1. Dumbbell flye — 10 lb KB × 10
2. Banded glute bridge with abduction — × 10, 3-s hold at top
3. Wall sit with ball squeeze &amp; overhead bar — ball between knees + bar overhead</t>
  </si>
  <si>
    <t xml:space="preserve">HPU06, HG06, SQ12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</si>
  <si>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:450lb</t>
    </r>
    <r>
      <rPr>
        <sz val="10"/>
        <rFont val="Noto Sans CJK SC"/>
        <family val="2"/>
      </rPr>
      <t xml:space="preserve">雪橇平行推，直背拉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</si>
  <si>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雪橇推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拉 — </t>
    </r>
    <r>
      <rPr>
        <sz val="10"/>
        <rFont val="Arial"/>
        <family val="0"/>
        <charset val="1"/>
      </rPr>
      <t xml:space="preserve">450 lb </t>
    </r>
    <r>
      <rPr>
        <sz val="10"/>
        <rFont val="Noto Sans CJK SC"/>
        <family val="2"/>
      </rPr>
      <t xml:space="preserve">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倒退拉</t>
    </r>
  </si>
  <si>
    <t xml:space="preserve">[4 sets]
1. Sled push &amp; drag — 450 lb push + backward drag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</si>
  <si>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黑橡筋锁踝微蹲交叠步；单侧</t>
    </r>
    <r>
      <rPr>
        <sz val="10"/>
        <rFont val="Arial"/>
        <family val="0"/>
        <charset val="1"/>
      </rPr>
      <t xml:space="preserve">45lb</t>
    </r>
    <r>
      <rPr>
        <sz val="10"/>
        <rFont val="Noto Sans CJK SC"/>
        <family val="2"/>
      </rPr>
      <t xml:space="preserve">杠铃正反手八字步硬拉点地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</si>
  <si>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弹力带侧向行走 — 黑色弹力带套脚踝，微蹲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分腿站硬拉 — </t>
    </r>
    <r>
      <rPr>
        <sz val="10"/>
        <rFont val="Arial"/>
        <family val="0"/>
        <charset val="1"/>
      </rPr>
      <t xml:space="preserve">45 lb </t>
    </r>
    <r>
      <rPr>
        <sz val="10"/>
        <rFont val="Noto Sans CJK SC"/>
        <family val="2"/>
      </rPr>
      <t xml:space="preserve">正反握 </t>
    </r>
    <r>
      <rPr>
        <sz val="10"/>
        <rFont val="Arial"/>
        <family val="0"/>
        <charset val="1"/>
      </rPr>
      <t xml:space="preserve">× 10/</t>
    </r>
    <r>
      <rPr>
        <sz val="10"/>
        <rFont val="Noto Sans CJK SC"/>
        <family val="2"/>
      </rPr>
      <t xml:space="preserve">侧</t>
    </r>
  </si>
  <si>
    <t xml:space="preserve">[3 sets]
1. Banded lateral walk (monster walk) — black band at ankles, quarter squat
2. Split-stance deadlift — 45 lb mixed grip × 10 /side</t>
  </si>
  <si>
    <t xml:space="preserve">SL05, HG04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</si>
  <si>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:40lb</t>
    </r>
    <r>
      <rPr>
        <sz val="10"/>
        <rFont val="Noto Sans CJK SC"/>
        <family val="2"/>
      </rPr>
      <t xml:space="preserve">哑铃卧推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35lb</t>
    </r>
    <r>
      <rPr>
        <sz val="10"/>
        <rFont val="Noto Sans CJK SC"/>
        <family val="2"/>
      </rPr>
      <t xml:space="preserve">两片哑铃片单侧推深蹲步每侧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60lb</t>
    </r>
    <r>
      <rPr>
        <sz val="10"/>
        <rFont val="Noto Sans CJK SC"/>
        <family val="2"/>
      </rPr>
      <t xml:space="preserve">？器械伸直大腿</t>
    </r>
    <r>
      <rPr>
        <sz val="10"/>
        <rFont val="Arial"/>
        <family val="0"/>
        <charset val="1"/>
      </rPr>
      <t xml:space="preserve">25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</si>
  <si>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哑铃卧推 — </t>
    </r>
    <r>
      <rPr>
        <sz val="10"/>
        <rFont val="Arial"/>
        <family val="0"/>
        <charset val="1"/>
      </rPr>
      <t xml:space="preserve">40 lb × 10
2. </t>
    </r>
    <r>
      <rPr>
        <sz val="10"/>
        <rFont val="Noto Sans CJK SC"/>
        <family val="2"/>
      </rPr>
      <t xml:space="preserve">侧弓步推片 — </t>
    </r>
    <r>
      <rPr>
        <sz val="10"/>
        <rFont val="Arial"/>
        <family val="0"/>
        <charset val="1"/>
      </rPr>
      <t xml:space="preserve">35 lb</t>
    </r>
    <r>
      <rPr>
        <sz val="10"/>
        <rFont val="Noto Sans CJK SC"/>
        <family val="2"/>
      </rPr>
      <t xml:space="preserve">片 </t>
    </r>
    <r>
      <rPr>
        <sz val="10"/>
        <rFont val="Arial"/>
        <family val="0"/>
        <charset val="1"/>
      </rPr>
      <t xml:space="preserve">× 6/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腿屈伸 — </t>
    </r>
    <r>
      <rPr>
        <sz val="10"/>
        <rFont val="Arial"/>
        <family val="0"/>
        <charset val="1"/>
      </rPr>
      <t xml:space="preserve">60 lb × 25</t>
    </r>
  </si>
  <si>
    <t xml:space="preserve">[3 rounds (circuit)]
1. Dumbbell bench press — 40 lb × 10
2. Lateral lunge with plate press-out — 35 lb plate × 6 /side
3. Leg extension — 60 lb × 25</t>
  </si>
  <si>
    <t xml:space="preserve">HPU04, SL08, SQ08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</si>
  <si>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后拉大腿后筋</t>
    </r>
    <r>
      <rPr>
        <sz val="10"/>
        <rFont val="Arial"/>
        <family val="0"/>
        <charset val="1"/>
      </rPr>
      <t xml:space="preserve">65lb20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</si>
  <si>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腿弯举（卧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坐） — </t>
    </r>
    <r>
      <rPr>
        <sz val="10"/>
        <rFont val="Arial"/>
        <family val="0"/>
        <charset val="1"/>
      </rPr>
      <t xml:space="preserve">65 lb × 20</t>
    </r>
  </si>
  <si>
    <t xml:space="preserve">[3 sets]
1. Leg curl (lying or seated) — 65 lb × 20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</si>
  <si>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:180lb</t>
    </r>
    <r>
      <rPr>
        <sz val="10"/>
        <rFont val="Noto Sans CJK SC"/>
        <family val="2"/>
      </rPr>
      <t xml:space="preserve">坐位坚持两分钟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</si>
  <si>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腿举等长保持 — </t>
    </r>
    <r>
      <rPr>
        <sz val="10"/>
        <rFont val="Arial"/>
        <family val="0"/>
        <charset val="1"/>
      </rPr>
      <t xml:space="preserve">180 lb </t>
    </r>
    <r>
      <rPr>
        <sz val="10"/>
        <rFont val="Noto Sans CJK SC"/>
        <family val="2"/>
      </rPr>
      <t xml:space="preserve">保持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分钟</t>
    </r>
  </si>
  <si>
    <t xml:space="preserve">[1 set]
1. Leg press isometric hold — 180 lb hold 2 min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</si>
  <si>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:25lb</t>
    </r>
    <r>
      <rPr>
        <sz val="10"/>
        <rFont val="Noto Sans CJK SC"/>
        <family val="2"/>
      </rPr>
      <t xml:space="preserve">壶铃抱胸前，每侧单腿深蹲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90lb</t>
    </r>
    <r>
      <rPr>
        <sz val="10"/>
        <rFont val="Noto Sans CJK SC"/>
        <family val="2"/>
      </rPr>
      <t xml:space="preserve">小杠铃直后腿筋挺胸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</si>
  <si>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单腿深蹲（抱壶铃） — </t>
    </r>
    <r>
      <rPr>
        <sz val="10"/>
        <rFont val="Arial"/>
        <family val="0"/>
        <charset val="1"/>
      </rPr>
      <t xml:space="preserve">25 lb × 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罗马尼亚硬拉 — </t>
    </r>
    <r>
      <rPr>
        <sz val="10"/>
        <rFont val="Arial"/>
        <family val="0"/>
        <charset val="1"/>
      </rPr>
      <t xml:space="preserve">90 lb × 10</t>
    </r>
  </si>
  <si>
    <t xml:space="preserve">[3 sets]
1. Single-leg squat to box (goblet) — 25 lb × 10 /side
2. Romanian deadlift (RDL) — 90 lb × 10</t>
  </si>
  <si>
    <t xml:space="preserve">SL02, HG02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</si>
  <si>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自重支撑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35lb</t>
    </r>
    <r>
      <rPr>
        <sz val="10"/>
        <rFont val="Noto Sans CJK SC"/>
        <family val="2"/>
      </rPr>
      <t xml:space="preserve">小杠铃锁肘过头卧位直臂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25lb</t>
    </r>
    <r>
      <rPr>
        <sz val="10"/>
        <rFont val="Noto Sans CJK SC"/>
        <family val="2"/>
      </rPr>
      <t xml:space="preserve">小哑铃每侧点肩直臂外甩手腕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</si>
  <si>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t xml:space="preserve">Triceps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</si>
  <si>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双杠臂屈伸 — 自重 </t>
    </r>
    <r>
      <rPr>
        <sz val="10"/>
        <rFont val="Arial"/>
        <family val="0"/>
        <charset val="1"/>
      </rPr>
      <t xml:space="preserve">× 6
2. </t>
    </r>
    <r>
      <rPr>
        <sz val="10"/>
        <rFont val="Noto Sans CJK SC"/>
        <family val="2"/>
      </rPr>
      <t xml:space="preserve">仰卧过头臂屈伸 — </t>
    </r>
    <r>
      <rPr>
        <sz val="10"/>
        <rFont val="Arial"/>
        <family val="0"/>
        <charset val="1"/>
      </rPr>
      <t xml:space="preserve">35 lb × 10
3. </t>
    </r>
    <r>
      <rPr>
        <sz val="10"/>
        <rFont val="Noto Sans CJK SC"/>
        <family val="2"/>
      </rPr>
      <t xml:space="preserve">单臂哑铃臂屈伸（由肩至直臂） — </t>
    </r>
    <r>
      <rPr>
        <sz val="10"/>
        <rFont val="Arial"/>
        <family val="0"/>
        <charset val="1"/>
      </rPr>
      <t xml:space="preserve">25 lb × 10/</t>
    </r>
    <r>
      <rPr>
        <sz val="10"/>
        <rFont val="Noto Sans CJK SC"/>
        <family val="2"/>
      </rPr>
      <t xml:space="preserve">侧</t>
    </r>
  </si>
  <si>
    <t xml:space="preserve">[3 sets]
1. Dips — bodyweight × 6
2. Lying overhead triceps extension — 35 lb × 10
3. Single-arm dumbbell extension — 25 lb × 10 /side</t>
  </si>
  <si>
    <t xml:space="preserve">TR03, TR02, TR07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</si>
  <si>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17.5lb</t>
    </r>
    <r>
      <rPr>
        <sz val="10"/>
        <rFont val="Noto Sans CJK SC"/>
        <family val="2"/>
      </rPr>
      <t xml:space="preserve">哑铃斜坐探底上拉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17.5lb</t>
    </r>
    <r>
      <rPr>
        <sz val="10"/>
        <rFont val="Noto Sans CJK SC"/>
        <family val="2"/>
      </rPr>
      <t xml:space="preserve">立拳探底上提固定肘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25lb</t>
    </r>
    <r>
      <rPr>
        <sz val="10"/>
        <rFont val="Noto Sans CJK SC"/>
        <family val="2"/>
      </rPr>
      <t xml:space="preserve">小杠铃锁肘上提齐肩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</si>
  <si>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肩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三头</t>
    </r>
  </si>
  <si>
    <t xml:space="preserve">Back + Shoulders + Triceps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</si>
  <si>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上斜俯卧哑铃划船 — </t>
    </r>
    <r>
      <rPr>
        <sz val="10"/>
        <rFont val="Arial"/>
        <family val="0"/>
        <charset val="1"/>
      </rPr>
      <t xml:space="preserve">17.5 lb × 10
2. </t>
    </r>
    <r>
      <rPr>
        <sz val="10"/>
        <rFont val="Noto Sans CJK SC"/>
        <family val="2"/>
      </rPr>
      <t xml:space="preserve">上斜俯卧哑铃臂屈伸（固定肘） — </t>
    </r>
    <r>
      <rPr>
        <sz val="10"/>
        <rFont val="Arial"/>
        <family val="0"/>
        <charset val="1"/>
      </rPr>
      <t xml:space="preserve">17.5 lb × 10
3. </t>
    </r>
    <r>
      <rPr>
        <sz val="10"/>
        <rFont val="Noto Sans CJK SC"/>
        <family val="2"/>
      </rPr>
      <t xml:space="preserve">杠铃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壶铃前平举 — </t>
    </r>
    <r>
      <rPr>
        <sz val="10"/>
        <rFont val="Arial"/>
        <family val="0"/>
        <charset val="1"/>
      </rPr>
      <t xml:space="preserve">25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10</t>
    </r>
  </si>
  <si>
    <t xml:space="preserve">[3 sets]
1. Chest-supported incline dumbbell row — 17.5 lb × 10
2. Chest-supported dumbbell kickback (fixed elbow) — 17.5 lb × 10
3. Front raise (bar / KB) — 25 lb fixed bar × 10</t>
  </si>
  <si>
    <t xml:space="preserve">HPL06, TR09, SH04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</si>
  <si>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软半球交叉手脚互碰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个，换边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个；固定臀部上半身后仰直身高举手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</si>
  <si>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BOSU</t>
    </r>
    <r>
      <rPr>
        <sz val="10"/>
        <rFont val="Noto Sans CJK SC"/>
        <family val="2"/>
      </rPr>
      <t xml:space="preserve">交叉手脚触碰 — </t>
    </r>
    <r>
      <rPr>
        <sz val="10"/>
        <rFont val="Arial"/>
        <family val="0"/>
        <charset val="1"/>
      </rPr>
      <t xml:space="preserve">× 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固定下肢后仰（直臂上举） — 保持</t>
    </r>
  </si>
  <si>
    <t xml:space="preserve">[3 sets]
1. BOSU cross-body toe touch — × 10 /side
2. Anchored lean-back hold — hold</t>
  </si>
  <si>
    <t xml:space="preserve">CO11, CO12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</si>
  <si>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热身：斜体拉绳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；俯卧撑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；蹲马步跳</t>
    </r>
    <r>
      <rPr>
        <sz val="10"/>
        <rFont val="Arial"/>
        <family val="0"/>
        <charset val="1"/>
      </rPr>
      <t xml:space="preserve">15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</si>
  <si>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悬挂带反向划船 — </t>
    </r>
    <r>
      <rPr>
        <sz val="10"/>
        <rFont val="Arial"/>
        <family val="0"/>
        <charset val="1"/>
      </rPr>
      <t xml:space="preserve">× 15
2.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深蹲跳 — </t>
    </r>
    <r>
      <rPr>
        <sz val="10"/>
        <rFont val="Arial"/>
        <family val="0"/>
        <charset val="1"/>
      </rPr>
      <t xml:space="preserve">× 15</t>
    </r>
  </si>
  <si>
    <t xml:space="preserve">[3 rounds (circuit)]
1. Suspension (TRX) inverted row — × 15
2. Push-up (standard / wide / hand-release) — × 10
3. Squat jump — × 15</t>
  </si>
  <si>
    <t xml:space="preserve">HPL08, HPU08, PW06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</si>
  <si>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组：单杠铃</t>
    </r>
    <r>
      <rPr>
        <sz val="10"/>
        <rFont val="Arial"/>
        <family val="0"/>
        <charset val="1"/>
      </rPr>
      <t xml:space="preserve">45lb</t>
    </r>
    <r>
      <rPr>
        <sz val="10"/>
        <rFont val="Noto Sans CJK SC"/>
        <family val="2"/>
      </rPr>
      <t xml:space="preserve">马步蹲接上举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个；俯卧撑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；平肩直背仰卧起坐</t>
    </r>
    <r>
      <rPr>
        <sz val="10"/>
        <rFont val="Arial"/>
        <family val="0"/>
        <charset val="1"/>
      </rPr>
      <t xml:space="preserve">15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</si>
  <si>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深蹲推举（</t>
    </r>
    <r>
      <rPr>
        <sz val="10"/>
        <rFont val="Arial"/>
        <family val="0"/>
        <charset val="1"/>
      </rPr>
      <t xml:space="preserve">Thruster</t>
    </r>
    <r>
      <rPr>
        <sz val="10"/>
        <rFont val="Noto Sans CJK SC"/>
        <family val="2"/>
      </rPr>
      <t xml:space="preserve">） — </t>
    </r>
    <r>
      <rPr>
        <sz val="10"/>
        <rFont val="Arial"/>
        <family val="0"/>
        <charset val="1"/>
      </rPr>
      <t xml:space="preserve">45 lb</t>
    </r>
    <r>
      <rPr>
        <sz val="10"/>
        <rFont val="Noto Sans CJK SC"/>
        <family val="2"/>
      </rPr>
      <t xml:space="preserve">空杆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仰卧起坐（可负重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转体） — 直背 </t>
    </r>
    <r>
      <rPr>
        <sz val="10"/>
        <rFont val="Arial"/>
        <family val="0"/>
        <charset val="1"/>
      </rPr>
      <t xml:space="preserve">× 15</t>
    </r>
  </si>
  <si>
    <t xml:space="preserve">[3 rounds (circuit)]
1. Thruster (squat to press) — 45 lb empty bar × 10
2. Push-up (standard / wide / hand-release) — × 10
3. Sit-up (weighted / with twist) — straight back × 15</t>
  </si>
  <si>
    <t xml:space="preserve">PW05, HPU08, CO01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</si>
  <si>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分钟</t>
    </r>
    <r>
      <rPr>
        <sz val="10"/>
        <rFont val="Arial"/>
        <family val="0"/>
        <charset val="1"/>
      </rPr>
      <t xml:space="preserve">250m</t>
    </r>
    <r>
      <rPr>
        <sz val="10"/>
        <rFont val="Noto Sans CJK SC"/>
        <family val="2"/>
      </rPr>
      <t xml:space="preserve">坐拉绳；</t>
    </r>
    <r>
      <rPr>
        <sz val="10"/>
        <rFont val="Arial"/>
        <family val="0"/>
        <charset val="1"/>
      </rPr>
      <t xml:space="preserve">32kg</t>
    </r>
    <r>
      <rPr>
        <sz val="10"/>
        <rFont val="Noto Sans CJK SC"/>
        <family val="2"/>
      </rPr>
      <t xml:space="preserve">？圆杠铃钓手深蹲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60lb</t>
    </r>
    <r>
      <rPr>
        <sz val="10"/>
        <rFont val="Noto Sans CJK SC"/>
        <family val="2"/>
      </rPr>
      <t xml:space="preserve">沙包挺举上肘深蹲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</si>
  <si>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划船机 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 </t>
    </r>
    <r>
      <rPr>
        <sz val="10"/>
        <rFont val="Arial"/>
        <family val="0"/>
        <charset val="1"/>
      </rPr>
      <t xml:space="preserve">250 m
2. </t>
    </r>
    <r>
      <rPr>
        <sz val="10"/>
        <rFont val="Noto Sans CJK SC"/>
        <family val="2"/>
      </rPr>
      <t xml:space="preserve">手持杠铃深蹲 — </t>
    </r>
    <r>
      <rPr>
        <sz val="10"/>
        <rFont val="Arial"/>
        <family val="0"/>
        <charset val="1"/>
      </rPr>
      <t xml:space="preserve">32 kg</t>
    </r>
    <r>
      <rPr>
        <sz val="10"/>
        <rFont val="Noto Sans CJK SC"/>
        <family val="2"/>
      </rPr>
      <t xml:space="preserve">（≈</t>
    </r>
    <r>
      <rPr>
        <sz val="10"/>
        <rFont val="Arial"/>
        <family val="0"/>
        <charset val="1"/>
      </rPr>
      <t xml:space="preserve">70 lb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15
3. </t>
    </r>
    <r>
      <rPr>
        <sz val="10"/>
        <rFont val="Noto Sans CJK SC"/>
        <family val="2"/>
      </rPr>
      <t xml:space="preserve">沙袋上肘前蹲 — </t>
    </r>
    <r>
      <rPr>
        <sz val="10"/>
        <rFont val="Arial"/>
        <family val="0"/>
        <charset val="1"/>
      </rPr>
      <t xml:space="preserve">60 lb × 10</t>
    </r>
  </si>
  <si>
    <t xml:space="preserve">[3 rounds (circuit)]
1. Rowing machine (erg) — 1 min 250 m
2. Barbell hold squat (bar at arms' length) — 32 kg (≈70 lb) × 15
3. Sandbag clean to front squat — 60 lb × 10</t>
  </si>
  <si>
    <t xml:space="preserve">WU02, SQ13, SQ02</t>
  </si>
  <si>
    <r>
      <rPr>
        <sz val="10"/>
        <rFont val="Arial"/>
        <family val="0"/>
        <charset val="1"/>
      </rPr>
      <t xml:space="preserve">10-1:</t>
    </r>
    <r>
      <rPr>
        <sz val="10"/>
        <rFont val="Noto Sans CJK SC"/>
        <family val="2"/>
      </rPr>
      <t xml:space="preserve">黑白球深蹲上举；黑白球高举砸地；俯卧撑；匍匐卧底起跳</t>
    </r>
  </si>
  <si>
    <r>
      <rPr>
        <sz val="10"/>
        <rFont val="Noto Sans CJK SC"/>
        <family val="2"/>
      </rPr>
      <t xml:space="preserve">【阶梯 </t>
    </r>
    <r>
      <rPr>
        <sz val="10"/>
        <rFont val="Arial"/>
        <family val="0"/>
        <charset val="1"/>
      </rPr>
      <t xml:space="preserve">10→1</t>
    </r>
    <r>
      <rPr>
        <sz val="10"/>
        <rFont val="Noto Sans CJK SC"/>
        <family val="2"/>
      </rPr>
      <t xml:space="preserve">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深蹲推举（</t>
    </r>
    <r>
      <rPr>
        <sz val="10"/>
        <rFont val="Arial"/>
        <family val="0"/>
        <charset val="1"/>
      </rPr>
      <t xml:space="preserve">Thruster</t>
    </r>
    <r>
      <rPr>
        <sz val="10"/>
        <rFont val="Noto Sans CJK SC"/>
        <family val="2"/>
      </rPr>
      <t xml:space="preserve">） — 药球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药球砸地 — 药球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自重
</t>
    </r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波比跳 — 自重</t>
    </r>
  </si>
  <si>
    <t xml:space="preserve">[Ladder 10-9-…-1 reps]
1. Thruster (squat to press) — med ball
2. Med-ball slam — med ball
3. Push-up (standard / wide / hand-release) — bodyweight
4. Burpee — bodyweight</t>
  </si>
  <si>
    <t xml:space="preserve">PW05, PW04, HPU08, PW01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</si>
  <si>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:12</t>
    </r>
    <r>
      <rPr>
        <sz val="10"/>
        <rFont val="Noto Sans CJK SC"/>
        <family val="2"/>
      </rPr>
      <t xml:space="preserve">级开肘全引体向上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；撑肘直抬腿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；撑肘小度数曲腿贴胸</t>
    </r>
    <r>
      <rPr>
        <sz val="10"/>
        <rFont val="Arial"/>
        <family val="0"/>
        <charset val="1"/>
      </rPr>
      <t xml:space="preserve">10</t>
    </r>
  </si>
  <si>
    <r>
      <rPr>
        <sz val="10"/>
        <rFont val="Noto Sans CJK SC"/>
        <family val="2"/>
      </rPr>
      <t xml:space="preserve">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核心</t>
    </r>
  </si>
  <si>
    <t xml:space="preserve">Back + Core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</si>
  <si>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辅助引体向上（宽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窄握） — 档位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宽握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罗马椅举腿（直腿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屈膝） — 直腿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罗马椅举腿（直腿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屈膝） — 屈膝贴胸 </t>
    </r>
    <r>
      <rPr>
        <sz val="10"/>
        <rFont val="Arial"/>
        <family val="0"/>
        <charset val="1"/>
      </rPr>
      <t xml:space="preserve">× 10</t>
    </r>
  </si>
  <si>
    <t xml:space="preserve">[3 sets]
1. Assisted pull-up (wide / close grip) — level 12 wide grip × 10
2. Captain's chair leg raise (straight / bent) — straight legs × 10
3. Captain's chair leg raise (straight / bent) — knees to chest × 10</t>
  </si>
  <si>
    <t xml:space="preserve">VPL01, CO06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</si>
  <si>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平板仰卧健身球区直腿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</si>
  <si>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瑞士球腿弯举 — </t>
    </r>
    <r>
      <rPr>
        <sz val="10"/>
        <rFont val="Arial"/>
        <family val="0"/>
        <charset val="1"/>
      </rPr>
      <t xml:space="preserve">× 10</t>
    </r>
  </si>
  <si>
    <t xml:space="preserve">[2 sets]
1. Stability-ball hamstring curl — × 10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</si>
  <si>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:250m</t>
    </r>
    <r>
      <rPr>
        <sz val="10"/>
        <rFont val="Noto Sans CJK SC"/>
        <family val="2"/>
      </rPr>
      <t xml:space="preserve">拉绳热身</t>
    </r>
    <r>
      <rPr>
        <sz val="10"/>
        <rFont val="Arial"/>
        <family val="0"/>
        <charset val="1"/>
      </rPr>
      <t xml:space="preserve">2min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</t>
    </r>
    <r>
      <rPr>
        <sz val="10"/>
        <rFont val="Arial"/>
        <family val="0"/>
        <charset val="1"/>
      </rPr>
      <t xml:space="preserve">swarts</t>
    </r>
    <r>
      <rPr>
        <sz val="10"/>
        <rFont val="Noto Sans CJK SC"/>
        <family val="2"/>
      </rPr>
      <t xml:space="preserve">跳；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个贴地俯卧撑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</si>
  <si>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划船机 — </t>
    </r>
    <r>
      <rPr>
        <sz val="10"/>
        <rFont val="Arial"/>
        <family val="0"/>
        <charset val="1"/>
      </rPr>
      <t xml:space="preserve">250 m</t>
    </r>
    <r>
      <rPr>
        <sz val="10"/>
        <rFont val="Noto Sans CJK SC"/>
        <family val="2"/>
      </rPr>
      <t xml:space="preserve">（约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分钟）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星跳 — </t>
    </r>
    <r>
      <rPr>
        <sz val="10"/>
        <rFont val="Arial"/>
        <family val="0"/>
        <charset val="1"/>
      </rPr>
      <t xml:space="preserve">× 15
3.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贴地 </t>
    </r>
    <r>
      <rPr>
        <sz val="10"/>
        <rFont val="Arial"/>
        <family val="0"/>
        <charset val="1"/>
      </rPr>
      <t xml:space="preserve">× 10</t>
    </r>
  </si>
  <si>
    <t xml:space="preserve">[3 rounds (circuit)]
1. Rowing machine (erg) — 250 m(≈2 min)
2. Star jump — × 15
3. Push-up (standard / wide / hand-release) — hand-release × 10</t>
  </si>
  <si>
    <t xml:space="preserve">WU02, PW14, HPU08</t>
  </si>
  <si>
    <r>
      <rPr>
        <sz val="10"/>
        <rFont val="Arial"/>
        <family val="0"/>
        <charset val="1"/>
      </rPr>
      <t xml:space="preserve">30lb</t>
    </r>
    <r>
      <rPr>
        <sz val="10"/>
        <rFont val="Noto Sans CJK SC"/>
        <family val="2"/>
      </rPr>
      <t xml:space="preserve">壶铃每侧弓步拉伸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次，两侧腿；马步壶铃点地交叉后拉背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次；</t>
    </r>
    <r>
      <rPr>
        <sz val="10"/>
        <rFont val="Arial"/>
        <family val="0"/>
        <charset val="1"/>
      </rPr>
      <t xml:space="preserve">25lb</t>
    </r>
    <r>
      <rPr>
        <sz val="10"/>
        <rFont val="Noto Sans CJK SC"/>
        <family val="2"/>
      </rPr>
      <t xml:space="preserve">小哑铃俯卧撑后拉背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次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</si>
  <si>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壶铃弓步 — </t>
    </r>
    <r>
      <rPr>
        <sz val="10"/>
        <rFont val="Arial"/>
        <family val="0"/>
        <charset val="1"/>
      </rPr>
      <t xml:space="preserve">30 lb × 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宽站距壶铃交替划船 —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俯卧撑划船（叛逆者划船） — </t>
    </r>
    <r>
      <rPr>
        <sz val="10"/>
        <rFont val="Arial"/>
        <family val="0"/>
        <charset val="1"/>
      </rPr>
      <t xml:space="preserve">25 lb × 10</t>
    </r>
  </si>
  <si>
    <t xml:space="preserve">[1 round (circuit)]
1. Kettlebell lunge — 30 lb × 10 /side
2. Wide-stance kettlebell alternating row — × 10
3. Renegade row — 25 lb × 10</t>
  </si>
  <si>
    <t xml:space="preserve">SL07, HPL10, HPL07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</si>
  <si>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:25lb</t>
    </r>
    <r>
      <rPr>
        <sz val="10"/>
        <rFont val="Noto Sans CJK SC"/>
        <family val="2"/>
      </rPr>
      <t xml:space="preserve">小哑铃深蹲上举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次；</t>
    </r>
    <r>
      <rPr>
        <sz val="10"/>
        <rFont val="Arial"/>
        <family val="0"/>
        <charset val="1"/>
      </rPr>
      <t xml:space="preserve">35lb</t>
    </r>
    <r>
      <rPr>
        <sz val="10"/>
        <rFont val="Noto Sans CJK SC"/>
        <family val="2"/>
      </rPr>
      <t xml:space="preserve">壶铃深蹲前甩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次；</t>
    </r>
    <r>
      <rPr>
        <sz val="10"/>
        <rFont val="Arial"/>
        <family val="0"/>
        <charset val="1"/>
      </rPr>
      <t xml:space="preserve">12lb</t>
    </r>
    <r>
      <rPr>
        <sz val="10"/>
        <rFont val="Noto Sans CJK SC"/>
        <family val="2"/>
      </rPr>
      <t xml:space="preserve">健身球上举重砸地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</si>
  <si>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深蹲推举（</t>
    </r>
    <r>
      <rPr>
        <sz val="10"/>
        <rFont val="Arial"/>
        <family val="0"/>
        <charset val="1"/>
      </rPr>
      <t xml:space="preserve">Thruster</t>
    </r>
    <r>
      <rPr>
        <sz val="10"/>
        <rFont val="Noto Sans CJK SC"/>
        <family val="2"/>
      </rPr>
      <t xml:space="preserve">） — </t>
    </r>
    <r>
      <rPr>
        <sz val="10"/>
        <rFont val="Arial"/>
        <family val="0"/>
        <charset val="1"/>
      </rPr>
      <t xml:space="preserve">25 lb</t>
    </r>
    <r>
      <rPr>
        <sz val="10"/>
        <rFont val="Noto Sans CJK SC"/>
        <family val="2"/>
      </rPr>
      <t xml:space="preserve">哑铃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壶铃摆荡 — </t>
    </r>
    <r>
      <rPr>
        <sz val="10"/>
        <rFont val="Arial"/>
        <family val="0"/>
        <charset val="1"/>
      </rPr>
      <t xml:space="preserve">35 lb × 15
3. </t>
    </r>
    <r>
      <rPr>
        <sz val="10"/>
        <rFont val="Noto Sans CJK SC"/>
        <family val="2"/>
      </rPr>
      <t xml:space="preserve">药球砸地 — </t>
    </r>
    <r>
      <rPr>
        <sz val="10"/>
        <rFont val="Arial"/>
        <family val="0"/>
        <charset val="1"/>
      </rPr>
      <t xml:space="preserve">12 lb × 10</t>
    </r>
  </si>
  <si>
    <t xml:space="preserve">[3 rounds (circuit)]
1. Thruster (squat to press) — 25 lb DB × 10
2. Kettlebell swing (Russian) — 35 lb × 15
3. Med-ball slam — 12 lb × 10</t>
  </si>
  <si>
    <t xml:space="preserve">PW05, HG05, PW04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</si>
  <si>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:70lb</t>
    </r>
    <r>
      <rPr>
        <sz val="10"/>
        <rFont val="Noto Sans CJK SC"/>
        <family val="2"/>
      </rPr>
      <t xml:space="preserve">坐推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</si>
  <si>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坐姿推胸机 — </t>
    </r>
    <r>
      <rPr>
        <sz val="10"/>
        <rFont val="Arial"/>
        <family val="0"/>
        <charset val="1"/>
      </rPr>
      <t xml:space="preserve">70 lb × 10</t>
    </r>
  </si>
  <si>
    <t xml:space="preserve">[3 sets]
1. Seated chest press machine — 70 lb × 10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</si>
  <si>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斜体后拉绳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个；脚悬空俯卧撑接曲膝贴胸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</si>
  <si>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悬挂带反向划船 —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悬挂带俯卧撑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收腹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提臀 — 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收膝 </t>
    </r>
    <r>
      <rPr>
        <sz val="10"/>
        <rFont val="Arial"/>
        <family val="0"/>
        <charset val="1"/>
      </rPr>
      <t xml:space="preserve">× 10</t>
    </r>
  </si>
  <si>
    <t xml:space="preserve">[5 rounds (circuit)]
1. Suspension (TRX) inverted row — × 10
2. Suspension push-up + knee tuck / pike — push-up + knee tuck × 10</t>
  </si>
  <si>
    <t xml:space="preserve">HPL08, HPU12</t>
  </si>
  <si>
    <r>
      <rPr>
        <sz val="10"/>
        <rFont val="Noto Sans CJK SC"/>
        <family val="2"/>
      </rPr>
      <t xml:space="preserve">二头肌，</t>
    </r>
    <r>
      <rPr>
        <sz val="10"/>
        <rFont val="Arial"/>
        <family val="0"/>
        <charset val="1"/>
      </rPr>
      <t xml:space="preserve">15lb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12.5lb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10lb</t>
    </r>
    <r>
      <rPr>
        <sz val="10"/>
        <rFont val="Noto Sans CJK SC"/>
        <family val="2"/>
      </rPr>
      <t xml:space="preserve">各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</t>
    </r>
    <r>
      <rPr>
        <sz val="10"/>
        <rFont val="Arial"/>
        <family val="0"/>
        <charset val="1"/>
      </rPr>
      <t xml:space="preserve">12321</t>
    </r>
    <r>
      <rPr>
        <sz val="10"/>
        <rFont val="Noto Sans CJK SC"/>
        <family val="2"/>
      </rPr>
      <t xml:space="preserve">次序不间断</t>
    </r>
  </si>
  <si>
    <r>
      <rPr>
        <sz val="10"/>
        <rFont val="Noto Sans CJK SC"/>
        <family val="2"/>
      </rPr>
      <t xml:space="preserve">【递减往返组（不休息）】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二头递减往返组 — </t>
    </r>
    <r>
      <rPr>
        <sz val="10"/>
        <rFont val="Arial"/>
        <family val="0"/>
        <charset val="1"/>
      </rPr>
      <t xml:space="preserve">15→12.5→10→12.5→15 lb </t>
    </r>
    <r>
      <rPr>
        <sz val="10"/>
        <rFont val="Noto Sans CJK SC"/>
        <family val="2"/>
      </rPr>
      <t xml:space="preserve">各 </t>
    </r>
    <r>
      <rPr>
        <sz val="10"/>
        <rFont val="Arial"/>
        <family val="0"/>
        <charset val="1"/>
      </rPr>
      <t xml:space="preserve">× 10</t>
    </r>
  </si>
  <si>
    <t xml:space="preserve">[Drop set, no rest]
1. Biceps curl drop set (up &amp; down) — 15→12.5→10→12.5→15 lb each × 10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</si>
  <si>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橡筋挂肩，</t>
    </r>
    <r>
      <rPr>
        <sz val="10"/>
        <rFont val="Arial"/>
        <family val="0"/>
        <charset val="1"/>
      </rPr>
      <t xml:space="preserve">8lb</t>
    </r>
    <r>
      <rPr>
        <sz val="10"/>
        <rFont val="Noto Sans CJK SC"/>
        <family val="2"/>
      </rPr>
      <t xml:space="preserve">球上举仰卧起坐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</si>
  <si>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仰卧起坐（可负重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转体） — 弹力带辅助，举</t>
    </r>
    <r>
      <rPr>
        <sz val="10"/>
        <rFont val="Arial"/>
        <family val="0"/>
        <charset val="1"/>
      </rPr>
      <t xml:space="preserve">8 lb</t>
    </r>
    <r>
      <rPr>
        <sz val="10"/>
        <rFont val="Noto Sans CJK SC"/>
        <family val="2"/>
      </rPr>
      <t xml:space="preserve">球 </t>
    </r>
    <r>
      <rPr>
        <sz val="10"/>
        <rFont val="Arial"/>
        <family val="0"/>
        <charset val="1"/>
      </rPr>
      <t xml:space="preserve">× 10</t>
    </r>
  </si>
  <si>
    <t xml:space="preserve">[3 sets]
1. Sit-up (weighted / with twist) — band-assisted, 8 lb ball overhead × 10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</si>
  <si>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组：雪橇</t>
    </r>
    <r>
      <rPr>
        <sz val="10"/>
        <rFont val="Arial"/>
        <family val="0"/>
        <charset val="1"/>
      </rPr>
      <t xml:space="preserve">90lb</t>
    </r>
    <r>
      <rPr>
        <sz val="10"/>
        <rFont val="Noto Sans CJK SC"/>
        <family val="2"/>
      </rPr>
      <t xml:space="preserve">推拉来回；深蹲跳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</si>
  <si>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雪橇推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拉 — </t>
    </r>
    <r>
      <rPr>
        <sz val="10"/>
        <rFont val="Arial"/>
        <family val="0"/>
        <charset val="1"/>
      </rPr>
      <t xml:space="preserve">90 lb </t>
    </r>
    <r>
      <rPr>
        <sz val="10"/>
        <rFont val="Noto Sans CJK SC"/>
        <family val="2"/>
      </rPr>
      <t xml:space="preserve">推拉往返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深蹲跳 — </t>
    </r>
    <r>
      <rPr>
        <sz val="10"/>
        <rFont val="Arial"/>
        <family val="0"/>
        <charset val="1"/>
      </rPr>
      <t xml:space="preserve">× 15</t>
    </r>
  </si>
  <si>
    <t xml:space="preserve">[2 rounds (circuit)]
1. Sled push &amp; drag — 90 lb push/pull 1 lap
2. Squat jump — × 15</t>
  </si>
  <si>
    <t xml:space="preserve">PW09, PW06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</si>
  <si>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单侧腿高台跳加下马步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35lb</t>
    </r>
    <r>
      <rPr>
        <sz val="10"/>
        <rFont val="Noto Sans CJK SC"/>
        <family val="2"/>
      </rPr>
      <t xml:space="preserve">壶铃下蹲</t>
    </r>
    <r>
      <rPr>
        <sz val="10"/>
        <rFont val="Arial"/>
        <family val="0"/>
        <charset val="1"/>
      </rPr>
      <t xml:space="preserve">3s</t>
    </r>
    <r>
      <rPr>
        <sz val="10"/>
        <rFont val="Noto Sans CJK SC"/>
        <family val="2"/>
      </rPr>
      <t xml:space="preserve">做十个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</si>
  <si>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单腿跳箱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落地深蹲 — </t>
    </r>
    <r>
      <rPr>
        <sz val="10"/>
        <rFont val="Arial"/>
        <family val="0"/>
        <charset val="1"/>
      </rPr>
      <t xml:space="preserve">× 15
2. </t>
    </r>
    <r>
      <rPr>
        <sz val="10"/>
        <rFont val="Noto Sans CJK SC"/>
        <family val="2"/>
      </rPr>
      <t xml:space="preserve">高脚杯深蹲 — </t>
    </r>
    <r>
      <rPr>
        <sz val="10"/>
        <rFont val="Arial"/>
        <family val="0"/>
        <charset val="1"/>
      </rPr>
      <t xml:space="preserve">35 lb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秒下蹲 </t>
    </r>
    <r>
      <rPr>
        <sz val="10"/>
        <rFont val="Arial"/>
        <family val="0"/>
        <charset val="1"/>
      </rPr>
      <t xml:space="preserve">× 10</t>
    </r>
  </si>
  <si>
    <t xml:space="preserve">[3 sets]
1. Single-leg box hop to squat landing — × 15
2. Goblet squat (KB/DB) — 35 lb , 3-s descent × 10</t>
  </si>
  <si>
    <t xml:space="preserve">SL09, SQ03</t>
  </si>
  <si>
    <r>
      <rPr>
        <sz val="10"/>
        <rFont val="Noto Sans CJK SC"/>
        <family val="2"/>
      </rPr>
      <t xml:space="preserve">毛巾牵引助力仰卧起坐加立身跳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</si>
  <si>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起坐站起跳 — </t>
    </r>
    <r>
      <rPr>
        <sz val="10"/>
        <rFont val="Arial"/>
        <family val="0"/>
        <charset val="1"/>
      </rPr>
      <t xml:space="preserve">× 40</t>
    </r>
  </si>
  <si>
    <t xml:space="preserve">[1 set]
1. Sit-up to stand &amp; jump — × 40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</si>
  <si>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每边</t>
    </r>
    <r>
      <rPr>
        <sz val="10"/>
        <rFont val="Arial"/>
        <family val="0"/>
        <charset val="1"/>
      </rPr>
      <t xml:space="preserve">70lb</t>
    </r>
    <r>
      <rPr>
        <sz val="10"/>
        <rFont val="Noto Sans CJK SC"/>
        <family val="2"/>
      </rPr>
      <t xml:space="preserve">后拉，单侧脚固定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</si>
  <si>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单臂器械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绳索划船 — </t>
    </r>
    <r>
      <rPr>
        <sz val="10"/>
        <rFont val="Arial"/>
        <family val="0"/>
        <charset val="1"/>
      </rPr>
      <t xml:space="preserve">70 lb × 10/</t>
    </r>
    <r>
      <rPr>
        <sz val="10"/>
        <rFont val="Noto Sans CJK SC"/>
        <family val="2"/>
      </rPr>
      <t xml:space="preserve">侧</t>
    </r>
  </si>
  <si>
    <t xml:space="preserve">[3 sets]
1. Single-arm machine / cable row — 70 lb × 10 /side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</si>
  <si>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坐前推单边</t>
    </r>
    <r>
      <rPr>
        <sz val="10"/>
        <rFont val="Arial"/>
        <family val="0"/>
        <charset val="1"/>
      </rPr>
      <t xml:space="preserve">45lb</t>
    </r>
    <r>
      <rPr>
        <sz val="10"/>
        <rFont val="Noto Sans CJK SC"/>
        <family val="2"/>
      </rPr>
      <t xml:space="preserve">做十个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</si>
  <si>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单臂坐姿推胸 — </t>
    </r>
    <r>
      <rPr>
        <sz val="10"/>
        <rFont val="Arial"/>
        <family val="0"/>
        <charset val="1"/>
      </rPr>
      <t xml:space="preserve">45 lb × 10/</t>
    </r>
    <r>
      <rPr>
        <sz val="10"/>
        <rFont val="Noto Sans CJK SC"/>
        <family val="2"/>
      </rPr>
      <t xml:space="preserve">侧</t>
    </r>
  </si>
  <si>
    <t xml:space="preserve">[3 sets]
1. Single-arm chest press — 45 lb × 10 /side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</si>
  <si>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坐直臂肩上举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个；立臀挺胸手心向上后拉</t>
    </r>
    <r>
      <rPr>
        <sz val="10"/>
        <rFont val="Arial"/>
        <family val="0"/>
        <charset val="1"/>
      </rPr>
      <t xml:space="preserve">35lb</t>
    </r>
    <r>
      <rPr>
        <sz val="10"/>
        <rFont val="Noto Sans CJK SC"/>
        <family val="2"/>
      </rPr>
      <t xml:space="preserve">杠铃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</si>
  <si>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哑铃推举（坐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站） — </t>
    </r>
    <r>
      <rPr>
        <sz val="10"/>
        <rFont val="Arial"/>
        <family val="0"/>
        <charset val="1"/>
      </rPr>
      <t xml:space="preserve">× 8
2. </t>
    </r>
    <r>
      <rPr>
        <sz val="10"/>
        <rFont val="Noto Sans CJK SC"/>
        <family val="2"/>
      </rPr>
      <t xml:space="preserve">杠铃反握划船 — </t>
    </r>
    <r>
      <rPr>
        <sz val="10"/>
        <rFont val="Arial"/>
        <family val="0"/>
        <charset val="1"/>
      </rPr>
      <t xml:space="preserve">35 lb × 8</t>
    </r>
  </si>
  <si>
    <t xml:space="preserve">[3 sets]
1. Dumbbell shoulder press — × 8
2. Underhand barbell row — 35 lb × 8</t>
  </si>
  <si>
    <t xml:space="preserve">VPU02, HPL03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</si>
  <si>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负重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全面引体向上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35lb</t>
    </r>
    <r>
      <rPr>
        <sz val="10"/>
        <rFont val="Noto Sans CJK SC"/>
        <family val="2"/>
      </rPr>
      <t xml:space="preserve">部队平胸上举哑铃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</si>
  <si>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辅助引体向上（宽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窄握） — 档位</t>
    </r>
    <r>
      <rPr>
        <sz val="10"/>
        <rFont val="Arial"/>
        <family val="0"/>
        <charset val="1"/>
      </rPr>
      <t xml:space="preserve">11 × 10
2. </t>
    </r>
    <r>
      <rPr>
        <sz val="10"/>
        <rFont val="Noto Sans CJK SC"/>
        <family val="2"/>
      </rPr>
      <t xml:space="preserve">哑铃推举（坐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站） — </t>
    </r>
    <r>
      <rPr>
        <sz val="10"/>
        <rFont val="Arial"/>
        <family val="0"/>
        <charset val="1"/>
      </rPr>
      <t xml:space="preserve">35 lb × 10</t>
    </r>
  </si>
  <si>
    <t xml:space="preserve">[3 sets]
1. Assisted pull-up (wide / close grip) — level 11 × 10
2. Dumbbell shoulder press — 35 lb × 10</t>
  </si>
  <si>
    <t xml:space="preserve">VPL01, VPU02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</si>
  <si>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:35lb</t>
    </r>
    <r>
      <rPr>
        <sz val="10"/>
        <rFont val="Noto Sans CJK SC"/>
        <family val="2"/>
      </rPr>
      <t xml:space="preserve">哑铃怀抱仰卧起坐加双侧旋转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</si>
  <si>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仰卧起坐（可负重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转体） — 抱</t>
    </r>
    <r>
      <rPr>
        <sz val="10"/>
        <rFont val="Arial"/>
        <family val="0"/>
        <charset val="1"/>
      </rPr>
      <t xml:space="preserve">35 lb</t>
    </r>
    <r>
      <rPr>
        <sz val="10"/>
        <rFont val="Noto Sans CJK SC"/>
        <family val="2"/>
      </rPr>
      <t xml:space="preserve">哑铃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左右转体 </t>
    </r>
    <r>
      <rPr>
        <sz val="10"/>
        <rFont val="Arial"/>
        <family val="0"/>
        <charset val="1"/>
      </rPr>
      <t xml:space="preserve">× 10</t>
    </r>
  </si>
  <si>
    <t xml:space="preserve">[2 sets]
1. Sit-up (weighted / with twist) — hugging 35 lb DB + twist each side × 10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</si>
  <si>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:45*3</t>
    </r>
    <r>
      <rPr>
        <sz val="10"/>
        <rFont val="Noto Sans CJK SC"/>
        <family val="2"/>
      </rPr>
      <t xml:space="preserve">撬交叉步前推，绷带马步后拉；马步蹲跳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个；俯卧撑贴地；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分钟直臂</t>
    </r>
    <r>
      <rPr>
        <sz val="10"/>
        <rFont val="Arial"/>
        <family val="0"/>
        <charset val="1"/>
      </rPr>
      <t xml:space="preserve">plank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</si>
  <si>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雪橇推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拉 —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片</t>
    </r>
    <r>
      <rPr>
        <sz val="10"/>
        <rFont val="Arial"/>
        <family val="0"/>
        <charset val="1"/>
      </rPr>
      <t xml:space="preserve">45 lb</t>
    </r>
    <r>
      <rPr>
        <sz val="10"/>
        <rFont val="Noto Sans CJK SC"/>
        <family val="2"/>
      </rPr>
      <t xml:space="preserve">：交叉步推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绑带后拉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深蹲跳 — </t>
    </r>
    <r>
      <rPr>
        <sz val="10"/>
        <rFont val="Arial"/>
        <family val="0"/>
        <charset val="1"/>
      </rPr>
      <t xml:space="preserve">× 15
3.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贴地
</t>
    </r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平板支撑（直臂） 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</t>
    </r>
  </si>
  <si>
    <t xml:space="preserve">[3 rounds (circuit)]
1. Sled push &amp; drag — 3×45 lb plates: crossover-step push + strap backward pull
2. Squat jump — × 15
3. Push-up (standard / wide / hand-release) — hand-release
4. Plank (straight-arm) — 1 min</t>
  </si>
  <si>
    <t xml:space="preserve">PW09, PW06, HPU08, CO08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</si>
  <si>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:45</t>
    </r>
    <r>
      <rPr>
        <sz val="10"/>
        <rFont val="Noto Sans CJK SC"/>
        <family val="2"/>
      </rPr>
      <t xml:space="preserve">磅单边哑铃马步上拉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；坐立推胸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个；倒立贴墙走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个；悬肘膝盖贴胸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</si>
  <si>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相扑哑铃高拉 — </t>
    </r>
    <r>
      <rPr>
        <sz val="10"/>
        <rFont val="Arial"/>
        <family val="0"/>
        <charset val="1"/>
      </rPr>
      <t xml:space="preserve">45 lb × 15
2. </t>
    </r>
    <r>
      <rPr>
        <sz val="10"/>
        <rFont val="Noto Sans CJK SC"/>
        <family val="2"/>
      </rPr>
      <t xml:space="preserve">坐姿推胸机 — </t>
    </r>
    <r>
      <rPr>
        <sz val="10"/>
        <rFont val="Arial"/>
        <family val="0"/>
        <charset val="1"/>
      </rPr>
      <t xml:space="preserve">× 15
3. </t>
    </r>
    <r>
      <rPr>
        <sz val="10"/>
        <rFont val="Noto Sans CJK SC"/>
        <family val="2"/>
      </rPr>
      <t xml:space="preserve">靠墙倒立走 — </t>
    </r>
    <r>
      <rPr>
        <sz val="10"/>
        <rFont val="Arial"/>
        <family val="0"/>
        <charset val="1"/>
      </rPr>
      <t xml:space="preserve">× 10
4. </t>
    </r>
    <r>
      <rPr>
        <sz val="10"/>
        <rFont val="Noto Sans CJK SC"/>
        <family val="2"/>
      </rPr>
      <t xml:space="preserve">罗马椅举腿（直腿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屈膝） — 屈膝 </t>
    </r>
    <r>
      <rPr>
        <sz val="10"/>
        <rFont val="Arial"/>
        <family val="0"/>
        <charset val="1"/>
      </rPr>
      <t xml:space="preserve">× 10</t>
    </r>
  </si>
  <si>
    <t xml:space="preserve">[3 rounds (circuit)]
1. Sumo dumbbell high pull — 45 lb × 15
2. Seated chest press machine — × 15
3. Wall walk — × 10
4. Captain's chair leg raise (straight / bent) — bent knees × 10</t>
  </si>
  <si>
    <t xml:space="preserve">SH07, HPU01, VPU05, CO06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</si>
  <si>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:40lb</t>
    </r>
    <r>
      <rPr>
        <sz val="10"/>
        <rFont val="Noto Sans CJK SC"/>
        <family val="2"/>
      </rPr>
      <t xml:space="preserve">负重袋抗肩交叉步沉膝一个来回，一个来回换边；</t>
    </r>
    <r>
      <rPr>
        <sz val="10"/>
        <rFont val="Arial"/>
        <family val="0"/>
        <charset val="1"/>
      </rPr>
      <t xml:space="preserve">40lb</t>
    </r>
    <r>
      <rPr>
        <sz val="10"/>
        <rFont val="Noto Sans CJK SC"/>
        <family val="2"/>
      </rPr>
      <t xml:space="preserve">壶铃马步后甩前扔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</si>
  <si>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交叉步（屈膝礼）弓步行进 — </t>
    </r>
    <r>
      <rPr>
        <sz val="10"/>
        <rFont val="Arial"/>
        <family val="0"/>
        <charset val="1"/>
      </rPr>
      <t xml:space="preserve">40 lb</t>
    </r>
    <r>
      <rPr>
        <sz val="10"/>
        <rFont val="Noto Sans CJK SC"/>
        <family val="2"/>
      </rPr>
      <t xml:space="preserve">沙袋扛肩，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壶铃摆荡 — </t>
    </r>
    <r>
      <rPr>
        <sz val="10"/>
        <rFont val="Arial"/>
        <family val="0"/>
        <charset val="1"/>
      </rPr>
      <t xml:space="preserve">40 lb</t>
    </r>
  </si>
  <si>
    <t xml:space="preserve">[4 sets]
1. Walking curtsy (crossover) lunge — 40 lb sandbag on shoulder, 1 lap /side
2. Kettlebell swing (Russian) — 40 lb</t>
  </si>
  <si>
    <t xml:space="preserve">SL04, HG05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</si>
  <si>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组：坐位下拉肩背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</si>
  <si>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高位下拉 — </t>
    </r>
    <r>
      <rPr>
        <sz val="10"/>
        <rFont val="Arial"/>
        <family val="0"/>
        <charset val="1"/>
      </rPr>
      <t xml:space="preserve">× 15</t>
    </r>
  </si>
  <si>
    <t xml:space="preserve">[3 sets]
1. Lat pulldown — × 15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</si>
  <si>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坐位</t>
    </r>
    <r>
      <rPr>
        <sz val="10"/>
        <rFont val="Arial"/>
        <family val="0"/>
        <charset val="1"/>
      </rPr>
      <t xml:space="preserve">20lb</t>
    </r>
    <r>
      <rPr>
        <sz val="10"/>
        <rFont val="Noto Sans CJK SC"/>
        <family val="2"/>
      </rPr>
      <t xml:space="preserve">哑铃齐头上举直臂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30lb</t>
    </r>
    <r>
      <rPr>
        <sz val="10"/>
        <rFont val="Noto Sans CJK SC"/>
        <family val="2"/>
      </rPr>
      <t xml:space="preserve">哑铃锁肘后拉伸直臂</t>
    </r>
    <r>
      <rPr>
        <sz val="10"/>
        <rFont val="Arial"/>
        <family val="0"/>
        <charset val="1"/>
      </rPr>
      <t xml:space="preserve">10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</si>
  <si>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坐姿哑铃颈后臂屈伸 — </t>
    </r>
    <r>
      <rPr>
        <sz val="10"/>
        <rFont val="Arial"/>
        <family val="0"/>
        <charset val="1"/>
      </rPr>
      <t xml:space="preserve">20 lb × 10
2. </t>
    </r>
    <r>
      <rPr>
        <sz val="10"/>
        <rFont val="Noto Sans CJK SC"/>
        <family val="2"/>
      </rPr>
      <t xml:space="preserve">哑铃俯身臂屈伸 — </t>
    </r>
    <r>
      <rPr>
        <sz val="10"/>
        <rFont val="Arial"/>
        <family val="0"/>
        <charset val="1"/>
      </rPr>
      <t xml:space="preserve">30 lb × 10</t>
    </r>
  </si>
  <si>
    <t xml:space="preserve">[3 sets]
1. Seated overhead dumbbell extension — 20 lb × 10
2. Dumbbell triceps kickback — 30 lb × 10</t>
  </si>
  <si>
    <t xml:space="preserve">TR04, TR05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</si>
  <si>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:30lb</t>
    </r>
    <r>
      <rPr>
        <sz val="10"/>
        <rFont val="Noto Sans CJK SC"/>
        <family val="2"/>
      </rPr>
      <t xml:space="preserve">壶铃胯下上摆平地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个，双手握壶铃深蹲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，无负重交叉下步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，俯卧撑</t>
    </r>
    <r>
      <rPr>
        <sz val="10"/>
        <rFont val="Arial"/>
        <family val="0"/>
        <charset val="1"/>
      </rPr>
      <t xml:space="preserve">10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</si>
  <si>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壶铃摆荡 — </t>
    </r>
    <r>
      <rPr>
        <sz val="10"/>
        <rFont val="Arial"/>
        <family val="0"/>
        <charset val="1"/>
      </rPr>
      <t xml:space="preserve">30 lb × 20
2. </t>
    </r>
    <r>
      <rPr>
        <sz val="10"/>
        <rFont val="Noto Sans CJK SC"/>
        <family val="2"/>
      </rPr>
      <t xml:space="preserve">高脚杯深蹲 — </t>
    </r>
    <r>
      <rPr>
        <sz val="10"/>
        <rFont val="Arial"/>
        <family val="0"/>
        <charset val="1"/>
      </rPr>
      <t xml:space="preserve">30 lb × 15
3. </t>
    </r>
    <r>
      <rPr>
        <sz val="10"/>
        <rFont val="Noto Sans CJK SC"/>
        <family val="2"/>
      </rPr>
      <t xml:space="preserve">交叉步（屈膝礼）弓步行进 — 自重 </t>
    </r>
    <r>
      <rPr>
        <sz val="10"/>
        <rFont val="Arial"/>
        <family val="0"/>
        <charset val="1"/>
      </rPr>
      <t xml:space="preserve">× 12
4.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</t>
    </r>
    <r>
      <rPr>
        <sz val="10"/>
        <rFont val="Arial"/>
        <family val="0"/>
        <charset val="1"/>
      </rPr>
      <t xml:space="preserve">× 10</t>
    </r>
  </si>
  <si>
    <t xml:space="preserve">[3 rounds (circuit)]
1. Kettlebell swing (Russian) — 30 lb × 20
2. Goblet squat (KB/DB) — 30 lb × 15
3. Walking curtsy (crossover) lunge — bodyweight × 12
4. Push-up (standard / wide / hand-release) — × 10</t>
  </si>
  <si>
    <t xml:space="preserve">HG05, SQ03, SL04, HPU08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</si>
  <si>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两侧提</t>
    </r>
    <r>
      <rPr>
        <sz val="10"/>
        <rFont val="Arial"/>
        <family val="0"/>
        <charset val="1"/>
      </rPr>
      <t xml:space="preserve">25lb</t>
    </r>
    <r>
      <rPr>
        <sz val="10"/>
        <rFont val="Noto Sans CJK SC"/>
        <family val="2"/>
      </rPr>
      <t xml:space="preserve">壶铃负重交叉步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140lb</t>
    </r>
    <r>
      <rPr>
        <sz val="10"/>
        <rFont val="Noto Sans CJK SC"/>
        <family val="2"/>
      </rPr>
      <t xml:space="preserve">双腿负重蹲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</si>
  <si>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交叉步（屈膝礼）弓步行进 — 双手提</t>
    </r>
    <r>
      <rPr>
        <sz val="10"/>
        <rFont val="Arial"/>
        <family val="0"/>
        <charset val="1"/>
      </rPr>
      <t xml:space="preserve">25 lb</t>
    </r>
    <r>
      <rPr>
        <sz val="10"/>
        <rFont val="Noto Sans CJK SC"/>
        <family val="2"/>
      </rPr>
      <t xml:space="preserve">壶铃 </t>
    </r>
    <r>
      <rPr>
        <sz val="10"/>
        <rFont val="Arial"/>
        <family val="0"/>
        <charset val="1"/>
      </rPr>
      <t xml:space="preserve">× 15
2. </t>
    </r>
    <r>
      <rPr>
        <sz val="10"/>
        <rFont val="Noto Sans CJK SC"/>
        <family val="2"/>
      </rPr>
      <t xml:space="preserve">腿举等长保持 — </t>
    </r>
    <r>
      <rPr>
        <sz val="10"/>
        <rFont val="Arial"/>
        <family val="0"/>
        <charset val="1"/>
      </rPr>
      <t xml:space="preserve">140 lb </t>
    </r>
    <r>
      <rPr>
        <sz val="10"/>
        <rFont val="Noto Sans CJK SC"/>
        <family val="2"/>
      </rPr>
      <t xml:space="preserve">保持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</t>
    </r>
  </si>
  <si>
    <t xml:space="preserve">[3 sets]
1. Walking curtsy (crossover) lunge — 2 × 25 lb KB (suitcase carry) × 15
2. Leg press isometric hold — 140 lb hold 1 min</t>
  </si>
  <si>
    <t xml:space="preserve">SL04, SQ07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</si>
  <si>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:20lb</t>
    </r>
    <r>
      <rPr>
        <sz val="10"/>
        <rFont val="Noto Sans CJK SC"/>
        <family val="2"/>
      </rPr>
      <t xml:space="preserve">胸前交叉直播坐举哑铃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，海鸥</t>
    </r>
    <r>
      <rPr>
        <sz val="10"/>
        <rFont val="Arial"/>
        <family val="0"/>
        <charset val="1"/>
      </rPr>
      <t xml:space="preserve">12.5lb15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</si>
  <si>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阿诺德推举 — </t>
    </r>
    <r>
      <rPr>
        <sz val="10"/>
        <rFont val="Arial"/>
        <family val="0"/>
        <charset val="1"/>
      </rPr>
      <t xml:space="preserve">20 lb × 10
2. </t>
    </r>
    <r>
      <rPr>
        <sz val="10"/>
        <rFont val="Noto Sans CJK SC"/>
        <family val="2"/>
      </rPr>
      <t xml:space="preserve">俯身反向飞鸟（海鸥） — </t>
    </r>
    <r>
      <rPr>
        <sz val="10"/>
        <rFont val="Arial"/>
        <family val="0"/>
        <charset val="1"/>
      </rPr>
      <t xml:space="preserve">12.5 lb × 15</t>
    </r>
  </si>
  <si>
    <t xml:space="preserve">[3 sets]
1. Arnold press — 20 lb × 10
2. Bent-over reverse fly — 12.5 lb × 15</t>
  </si>
  <si>
    <t xml:space="preserve">VPU03, SH03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</si>
  <si>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卧位</t>
    </r>
    <r>
      <rPr>
        <sz val="10"/>
        <rFont val="Arial"/>
        <family val="0"/>
        <charset val="1"/>
      </rPr>
      <t xml:space="preserve">15lb</t>
    </r>
    <r>
      <rPr>
        <sz val="10"/>
        <rFont val="Noto Sans CJK SC"/>
        <family val="2"/>
      </rPr>
      <t xml:space="preserve">小杠铃锁肘前臂上举至直臂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；单手扶架双侧手臂拉背各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次</t>
    </r>
  </si>
  <si>
    <r>
      <rPr>
        <sz val="10"/>
        <rFont val="Arial"/>
        <family val="0"/>
        <charset val="1"/>
      </rPr>
      <t xml:space="preserve">Z-B</t>
    </r>
    <r>
      <rPr>
        <sz val="10"/>
        <rFont val="Noto Sans CJK SC"/>
        <family val="2"/>
      </rPr>
      <t xml:space="preserve">：综合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三头</t>
    </r>
  </si>
  <si>
    <r>
      <rPr>
        <sz val="10"/>
        <rFont val="Noto Sans CJK SC"/>
        <family val="2"/>
      </rPr>
      <t xml:space="preserve">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三头</t>
    </r>
  </si>
  <si>
    <t xml:space="preserve">Back + Triceps</t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</si>
  <si>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仰卧臂屈伸（碎颅者） — </t>
    </r>
    <r>
      <rPr>
        <sz val="10"/>
        <rFont val="Arial"/>
        <family val="0"/>
        <charset val="1"/>
      </rPr>
      <t xml:space="preserve">15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15
2. </t>
    </r>
    <r>
      <rPr>
        <sz val="10"/>
        <rFont val="Noto Sans CJK SC"/>
        <family val="2"/>
      </rPr>
      <t xml:space="preserve">单臂哑铃划船（扶架） — </t>
    </r>
    <r>
      <rPr>
        <sz val="10"/>
        <rFont val="Arial"/>
        <family val="0"/>
        <charset val="1"/>
      </rPr>
      <t xml:space="preserve">× 15/</t>
    </r>
    <r>
      <rPr>
        <sz val="10"/>
        <rFont val="Noto Sans CJK SC"/>
        <family val="2"/>
      </rPr>
      <t xml:space="preserve">侧</t>
    </r>
  </si>
  <si>
    <t xml:space="preserve">[3 sets]
1. Skull crusher (lying triceps extension) — 15 lb fixed bar × 15
2. Single-arm dumbbell row (supported) — × 15 /side</t>
  </si>
  <si>
    <t xml:space="preserve">TR01, HPL04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</si>
  <si>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软索侧拉背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个；吊足俯卧撑提臀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</si>
  <si>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悬挂带反向划船 — 单臂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悬挂带俯卧撑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收腹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提臀 — 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提臀 </t>
    </r>
    <r>
      <rPr>
        <sz val="10"/>
        <rFont val="Arial"/>
        <family val="0"/>
        <charset val="1"/>
      </rPr>
      <t xml:space="preserve">× 10</t>
    </r>
  </si>
  <si>
    <t xml:space="preserve">[5 rounds (circuit)]
1. Suspension (TRX) inverted row — single-arm × 10
2. Suspension push-up + knee tuck / pike — push-up + pike × 10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</si>
  <si>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:35lb</t>
    </r>
    <r>
      <rPr>
        <sz val="10"/>
        <rFont val="Noto Sans CJK SC"/>
        <family val="2"/>
      </rPr>
      <t xml:space="preserve">单边杠铃深蹲上举十个；吊体卷腹十个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</si>
  <si>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地雷管深蹲推举 — </t>
    </r>
    <r>
      <rPr>
        <sz val="10"/>
        <rFont val="Arial"/>
        <family val="0"/>
        <charset val="1"/>
      </rPr>
      <t xml:space="preserve">35 lb × 10
2. </t>
    </r>
    <r>
      <rPr>
        <sz val="10"/>
        <rFont val="Noto Sans CJK SC"/>
        <family val="2"/>
      </rPr>
      <t xml:space="preserve">悬垂卷腹 — </t>
    </r>
    <r>
      <rPr>
        <sz val="10"/>
        <rFont val="Arial"/>
        <family val="0"/>
        <charset val="1"/>
      </rPr>
      <t xml:space="preserve">× 10</t>
    </r>
  </si>
  <si>
    <t xml:space="preserve">[2 sets]
1. Landmine squat to press — 35 lb × 10
2. Hanging knee raise / crunch — × 10</t>
  </si>
  <si>
    <t xml:space="preserve">PW10, CO07</t>
  </si>
  <si>
    <r>
      <rPr>
        <sz val="10"/>
        <rFont val="Arial"/>
        <family val="0"/>
        <charset val="1"/>
      </rPr>
      <t xml:space="preserve">10level</t>
    </r>
    <r>
      <rPr>
        <sz val="10"/>
        <rFont val="Noto Sans CJK SC"/>
        <family val="2"/>
      </rPr>
      <t xml:space="preserve">减重引体向上</t>
    </r>
    <r>
      <rPr>
        <sz val="10"/>
        <rFont val="Arial"/>
        <family val="0"/>
        <charset val="1"/>
      </rPr>
      <t xml:space="preserve">*10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磅小杠铃直立过头</t>
    </r>
    <r>
      <rPr>
        <sz val="10"/>
        <rFont val="Arial"/>
        <family val="0"/>
        <charset val="1"/>
      </rPr>
      <t xml:space="preserve">*10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</si>
  <si>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辅助引体向上（宽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窄握） — 档位</t>
    </r>
    <r>
      <rPr>
        <sz val="10"/>
        <rFont val="Arial"/>
        <family val="0"/>
        <charset val="1"/>
      </rPr>
      <t xml:space="preserve">10 × 10
2. </t>
    </r>
    <r>
      <rPr>
        <sz val="10"/>
        <rFont val="Noto Sans CJK SC"/>
        <family val="2"/>
      </rPr>
      <t xml:space="preserve">杠铃站姿推举（军式推举） — </t>
    </r>
    <r>
      <rPr>
        <sz val="10"/>
        <rFont val="Arial"/>
        <family val="0"/>
        <charset val="1"/>
      </rPr>
      <t xml:space="preserve">20 lb</t>
    </r>
    <r>
      <rPr>
        <sz val="10"/>
        <rFont val="Noto Sans CJK SC"/>
        <family val="2"/>
      </rPr>
      <t xml:space="preserve">定重杠 </t>
    </r>
    <r>
      <rPr>
        <sz val="10"/>
        <rFont val="Arial"/>
        <family val="0"/>
        <charset val="1"/>
      </rPr>
      <t xml:space="preserve">× 10</t>
    </r>
  </si>
  <si>
    <t xml:space="preserve">[3 sets]
1. Assisted pull-up (wide / close grip) — level 10 × 10
2. Barbell overhead / military press — 20 lb fixed bar × 10</t>
  </si>
  <si>
    <r>
      <rPr>
        <sz val="10"/>
        <rFont val="Noto Sans CJK SC"/>
        <family val="2"/>
      </rPr>
      <t xml:space="preserve">握推：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:35</t>
    </r>
    <r>
      <rPr>
        <sz val="10"/>
        <rFont val="Noto Sans CJK SC"/>
        <family val="2"/>
      </rPr>
      <t xml:space="preserve">磅</t>
    </r>
    <r>
      <rPr>
        <sz val="10"/>
        <rFont val="Arial"/>
        <family val="0"/>
        <charset val="1"/>
      </rPr>
      <t xml:space="preserve">*10</t>
    </r>
    <r>
      <rPr>
        <sz val="10"/>
        <rFont val="Noto Sans CJK SC"/>
        <family val="2"/>
      </rPr>
      <t xml:space="preserve">，沉到贴檀中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</si>
  <si>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杠铃卧推 — 每侧</t>
    </r>
    <r>
      <rPr>
        <sz val="10"/>
        <rFont val="Arial"/>
        <family val="0"/>
        <charset val="1"/>
      </rPr>
      <t xml:space="preserve">35 lb</t>
    </r>
    <r>
      <rPr>
        <sz val="10"/>
        <rFont val="Noto Sans CJK SC"/>
        <family val="2"/>
      </rPr>
      <t xml:space="preserve">（总≈</t>
    </r>
    <r>
      <rPr>
        <sz val="10"/>
        <rFont val="Arial"/>
        <family val="0"/>
        <charset val="1"/>
      </rPr>
      <t xml:space="preserve">115 lb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10</t>
    </r>
    <r>
      <rPr>
        <sz val="10"/>
        <rFont val="Noto Sans CJK SC"/>
        <family val="2"/>
      </rPr>
      <t xml:space="preserve">，下放至膻中</t>
    </r>
  </si>
  <si>
    <t xml:space="preserve">[3 sets]
1. Barbell bench press — 35 lb per side (≈115 lb total) × 10, lower to sternum</t>
  </si>
  <si>
    <r>
      <rPr>
        <sz val="10"/>
        <rFont val="Noto Sans CJK SC"/>
        <family val="2"/>
      </rPr>
      <t xml:space="preserve">硬拉：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:45</t>
    </r>
    <r>
      <rPr>
        <sz val="10"/>
        <rFont val="Noto Sans CJK SC"/>
        <family val="2"/>
      </rPr>
      <t xml:space="preserve">磅</t>
    </r>
    <r>
      <rPr>
        <sz val="10"/>
        <rFont val="Arial"/>
        <family val="0"/>
        <charset val="1"/>
      </rPr>
      <t xml:space="preserve">*10</t>
    </r>
    <r>
      <rPr>
        <sz val="10"/>
        <rFont val="Noto Sans CJK SC"/>
        <family val="2"/>
      </rPr>
      <t xml:space="preserve">，正反强弱手</t>
    </r>
  </si>
  <si>
    <r>
      <rPr>
        <sz val="10"/>
        <rFont val="Arial"/>
        <family val="0"/>
        <charset val="1"/>
      </rPr>
      <t xml:space="preserve">A-3: </t>
    </r>
    <r>
      <rPr>
        <sz val="10"/>
        <rFont val="Noto Sans CJK SC"/>
        <family val="2"/>
      </rPr>
      <t xml:space="preserve">腿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臀大肌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</si>
  <si>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组】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传统硬拉（正反握） — </t>
    </r>
    <r>
      <rPr>
        <sz val="10"/>
        <rFont val="Arial"/>
        <family val="0"/>
        <charset val="1"/>
      </rPr>
      <t xml:space="preserve">45 lb × 10</t>
    </r>
    <r>
      <rPr>
        <sz val="10"/>
        <rFont val="Noto Sans CJK SC"/>
        <family val="2"/>
      </rPr>
      <t xml:space="preserve">，正反握交换</t>
    </r>
  </si>
  <si>
    <t xml:space="preserve">[3 sets]
1. Conventional deadlift, mixed grip — 45 lb × 10, alternate mixed grip</t>
  </si>
  <si>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磅壶铃马步上举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个，轻跳矮台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个，斜体软带直臂开肩引体向上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个，俯卧撑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</si>
  <si>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深蹲推举（</t>
    </r>
    <r>
      <rPr>
        <sz val="10"/>
        <rFont val="Arial"/>
        <family val="0"/>
        <charset val="1"/>
      </rPr>
      <t xml:space="preserve">Thruster</t>
    </r>
    <r>
      <rPr>
        <sz val="10"/>
        <rFont val="Noto Sans CJK SC"/>
        <family val="2"/>
      </rPr>
      <t xml:space="preserve">） — </t>
    </r>
    <r>
      <rPr>
        <sz val="10"/>
        <rFont val="Arial"/>
        <family val="0"/>
        <charset val="1"/>
      </rPr>
      <t xml:space="preserve">25 lb</t>
    </r>
    <r>
      <rPr>
        <sz val="10"/>
        <rFont val="Noto Sans CJK SC"/>
        <family val="2"/>
      </rPr>
      <t xml:space="preserve">壶铃马步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跳箱 — 矮箱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悬挂带 </t>
    </r>
    <r>
      <rPr>
        <sz val="10"/>
        <rFont val="Arial"/>
        <family val="0"/>
        <charset val="1"/>
      </rPr>
      <t xml:space="preserve">Y/T </t>
    </r>
    <r>
      <rPr>
        <sz val="10"/>
        <rFont val="Noto Sans CJK SC"/>
        <family val="2"/>
      </rPr>
      <t xml:space="preserve">字飞 — </t>
    </r>
    <r>
      <rPr>
        <sz val="10"/>
        <rFont val="Arial"/>
        <family val="0"/>
        <charset val="1"/>
      </rPr>
      <t xml:space="preserve">× 10
4.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</t>
    </r>
    <r>
      <rPr>
        <sz val="10"/>
        <rFont val="Arial"/>
        <family val="0"/>
        <charset val="1"/>
      </rPr>
      <t xml:space="preserve">× 10</t>
    </r>
  </si>
  <si>
    <t xml:space="preserve">[1 round (circuit)]
1. Thruster (squat to press) — 25 lb KBsumo × 10
2. Box jump — low box × 10
3. Suspension Y/T raise — × 10
4. Push-up (standard / wide / hand-release) — × 10</t>
  </si>
  <si>
    <t xml:space="preserve">PW05, PW07, SH06, HPU08</t>
  </si>
  <si>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磅壶铃马步上举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个，轻跳高台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个，斜体引体向上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个，开肩俯卧撑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</si>
  <si>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深蹲推举（</t>
    </r>
    <r>
      <rPr>
        <sz val="10"/>
        <rFont val="Arial"/>
        <family val="0"/>
        <charset val="1"/>
      </rPr>
      <t xml:space="preserve">Thruster</t>
    </r>
    <r>
      <rPr>
        <sz val="10"/>
        <rFont val="Noto Sans CJK SC"/>
        <family val="2"/>
      </rPr>
      <t xml:space="preserve">） — </t>
    </r>
    <r>
      <rPr>
        <sz val="10"/>
        <rFont val="Arial"/>
        <family val="0"/>
        <charset val="1"/>
      </rPr>
      <t xml:space="preserve">25 lb</t>
    </r>
    <r>
      <rPr>
        <sz val="10"/>
        <rFont val="Noto Sans CJK SC"/>
        <family val="2"/>
      </rPr>
      <t xml:space="preserve">壶铃马步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跳箱 — 高箱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悬挂带反向划船 — </t>
    </r>
    <r>
      <rPr>
        <sz val="10"/>
        <rFont val="Arial"/>
        <family val="0"/>
        <charset val="1"/>
      </rPr>
      <t xml:space="preserve">× 10
4.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宽距 </t>
    </r>
    <r>
      <rPr>
        <sz val="10"/>
        <rFont val="Arial"/>
        <family val="0"/>
        <charset val="1"/>
      </rPr>
      <t xml:space="preserve">× 10</t>
    </r>
  </si>
  <si>
    <t xml:space="preserve">[1 round (circuit)]
1. Thruster (squat to press) — 25 lb KBsumo × 10
2. Box jump — high box × 10
3. Suspension (TRX) inverted row — × 10
4. Push-up (standard / wide / hand-release) — wide × 10</t>
  </si>
  <si>
    <t xml:space="preserve">PW05, PW07, HPL08, HPU08</t>
  </si>
  <si>
    <r>
      <rPr>
        <sz val="10"/>
        <rFont val="Arial"/>
        <family val="0"/>
        <charset val="1"/>
      </rPr>
      <t xml:space="preserve">15-12-9-6-3:17.5</t>
    </r>
    <r>
      <rPr>
        <sz val="10"/>
        <rFont val="Noto Sans CJK SC"/>
        <family val="2"/>
      </rPr>
      <t xml:space="preserve">磅哑铃俯卧撑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战绳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腿高位仰卧起坐投掷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磅皮球</t>
    </r>
  </si>
  <si>
    <r>
      <rPr>
        <sz val="10"/>
        <rFont val="Noto Sans CJK SC"/>
        <family val="2"/>
      </rPr>
      <t xml:space="preserve">【阶梯 </t>
    </r>
    <r>
      <rPr>
        <sz val="10"/>
        <rFont val="Arial"/>
        <family val="0"/>
        <charset val="1"/>
      </rPr>
      <t xml:space="preserve">15-12-9-6-3</t>
    </r>
    <r>
      <rPr>
        <sz val="10"/>
        <rFont val="Noto Sans CJK SC"/>
        <family val="2"/>
      </rPr>
      <t xml:space="preserve">（每轮各动作做对应次数）】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握铃俯卧撑 — </t>
    </r>
    <r>
      <rPr>
        <sz val="10"/>
        <rFont val="Arial"/>
        <family val="0"/>
        <charset val="1"/>
      </rPr>
      <t xml:space="preserve">17.5 lb</t>
    </r>
    <r>
      <rPr>
        <sz val="10"/>
        <rFont val="Noto Sans CJK SC"/>
        <family val="2"/>
      </rPr>
      <t xml:space="preserve">哑铃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战绳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抬腿仰卧起坐抛球 — </t>
    </r>
    <r>
      <rPr>
        <sz val="10"/>
        <rFont val="Arial"/>
        <family val="0"/>
        <charset val="1"/>
      </rPr>
      <t xml:space="preserve">12 lb</t>
    </r>
    <r>
      <rPr>
        <sz val="10"/>
        <rFont val="Noto Sans CJK SC"/>
        <family val="2"/>
      </rPr>
      <t xml:space="preserve">球</t>
    </r>
  </si>
  <si>
    <t xml:space="preserve">[Ladder 15-12-9-6-3 reps]
1. Push-up on kettlebells / dumbbells — 17.5 lb DB
2. Battle ropes
3. Elevated-leg sit-up with med-ball toss — 12 lb ball</t>
  </si>
  <si>
    <t xml:space="preserve">HPU11, PW08, CO15</t>
  </si>
  <si>
    <r>
      <rPr>
        <sz val="10"/>
        <rFont val="Noto Sans CJK SC"/>
        <family val="2"/>
      </rPr>
      <t xml:space="preserve">正常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下蹲马步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个，立臀窜手拉后腿筋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个，战绳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磅壶铃登高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次两侧腿，引体向上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个，波比跳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个，俯卧撑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个，仰卧起坐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plank 1min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</si>
  <si>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相扑（马步）深蹲 — 自重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尺蠖爬（腿后侧拉伸） —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战绳 — </t>
    </r>
    <r>
      <rPr>
        <sz val="10"/>
        <rFont val="Arial"/>
        <family val="0"/>
        <charset val="1"/>
      </rPr>
      <t xml:space="preserve">× 15
4. </t>
    </r>
    <r>
      <rPr>
        <sz val="10"/>
        <rFont val="Noto Sans CJK SC"/>
        <family val="2"/>
      </rPr>
      <t xml:space="preserve">壶铃登阶 — </t>
    </r>
    <r>
      <rPr>
        <sz val="10"/>
        <rFont val="Arial"/>
        <family val="0"/>
        <charset val="1"/>
      </rPr>
      <t xml:space="preserve">25 lb × 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引体向上 — </t>
    </r>
    <r>
      <rPr>
        <sz val="10"/>
        <rFont val="Arial"/>
        <family val="0"/>
        <charset val="1"/>
      </rPr>
      <t xml:space="preserve">× 10
6. </t>
    </r>
    <r>
      <rPr>
        <sz val="10"/>
        <rFont val="Noto Sans CJK SC"/>
        <family val="2"/>
      </rPr>
      <t xml:space="preserve">波比跳 — </t>
    </r>
    <r>
      <rPr>
        <sz val="10"/>
        <rFont val="Arial"/>
        <family val="0"/>
        <charset val="1"/>
      </rPr>
      <t xml:space="preserve">× 10
7.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</t>
    </r>
    <r>
      <rPr>
        <sz val="10"/>
        <rFont val="Arial"/>
        <family val="0"/>
        <charset val="1"/>
      </rPr>
      <t xml:space="preserve">× 25
8. </t>
    </r>
    <r>
      <rPr>
        <sz val="10"/>
        <rFont val="Noto Sans CJK SC"/>
        <family val="2"/>
      </rPr>
      <t xml:space="preserve">仰卧起坐（可负重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转体） — </t>
    </r>
    <r>
      <rPr>
        <sz val="10"/>
        <rFont val="Arial"/>
        <family val="0"/>
        <charset val="1"/>
      </rPr>
      <t xml:space="preserve">× 15
9. </t>
    </r>
    <r>
      <rPr>
        <sz val="10"/>
        <rFont val="Noto Sans CJK SC"/>
        <family val="2"/>
      </rPr>
      <t xml:space="preserve">平板支撑（直臂） 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分钟</t>
    </r>
  </si>
  <si>
    <t xml:space="preserve">[4 rounds (circuit)]
1. Sumo squat (KB or bodyweight) — bodyweight × 10
2. Inchworm — × 10
3. Battle ropes — × 15
4. Kettlebell step-up — 25 lb × 10 /side
5. Pull-up (bodyweight) — × 10
6. Burpee — × 10
7. Push-up (standard / wide / hand-release) — × 25
8. Sit-up (weighted / with twist) — × 15
9. Plank (straight-arm) — 1 min</t>
  </si>
  <si>
    <t xml:space="preserve">SQ04, HG09, PW08, SL06, VPL02, PW01, HPU08, CO01, CO08</t>
  </si>
  <si>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磅壶铃深蹲十个，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磅小壶铃蹲起➕直臂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个，吊带斜体牵引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个，脚悬空俯卧撑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高抬臀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个</t>
    </r>
  </si>
  <si>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轮循环】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高脚杯深蹲 — </t>
    </r>
    <r>
      <rPr>
        <sz val="10"/>
        <rFont val="Arial"/>
        <family val="0"/>
        <charset val="1"/>
      </rPr>
      <t xml:space="preserve">35 lb × 10
2. </t>
    </r>
    <r>
      <rPr>
        <sz val="10"/>
        <rFont val="Noto Sans CJK SC"/>
        <family val="2"/>
      </rPr>
      <t xml:space="preserve">高脚杯深蹲 — </t>
    </r>
    <r>
      <rPr>
        <sz val="10"/>
        <rFont val="Arial"/>
        <family val="0"/>
        <charset val="1"/>
      </rPr>
      <t xml:space="preserve">15 lb + </t>
    </r>
    <r>
      <rPr>
        <sz val="10"/>
        <rFont val="Noto Sans CJK SC"/>
        <family val="2"/>
      </rPr>
      <t xml:space="preserve">起身直臂前平举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悬挂带反向划船 — </t>
    </r>
    <r>
      <rPr>
        <sz val="10"/>
        <rFont val="Arial"/>
        <family val="0"/>
        <charset val="1"/>
      </rPr>
      <t xml:space="preserve">× 10
4. </t>
    </r>
    <r>
      <rPr>
        <sz val="10"/>
        <rFont val="Noto Sans CJK SC"/>
        <family val="2"/>
      </rPr>
      <t xml:space="preserve">悬挂带俯卧撑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收腹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提臀 — 俯卧撑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提臀 </t>
    </r>
    <r>
      <rPr>
        <sz val="10"/>
        <rFont val="Arial"/>
        <family val="0"/>
        <charset val="1"/>
      </rPr>
      <t xml:space="preserve">× 10</t>
    </r>
  </si>
  <si>
    <t xml:space="preserve">[1 round (circuit)]
1. Goblet squat (KB/DB) — 35 lb × 10
2. Goblet squat (KB/DB) — 15 lb + straight-arm front raise on the way up × 10
3. Suspension (TRX) inverted row — × 10
4. Suspension push-up + knee tuck / pike — push-up + pike × 10</t>
  </si>
  <si>
    <t xml:space="preserve">SQ03, HPL08, HPU12</t>
  </si>
  <si>
    <t xml:space="preserve">C1</t>
  </si>
  <si>
    <t xml:space="preserve">leg press: 10*4 with 180, 270, and 360lb, both straight toe and toe pointing out
leg expansion: toe straight and toe out, heavy weight *5, medium weight *10, light weight* 15
leg curvel: toe straight and toe out, heavy weight *5, medium weight *10, light weight* 15</t>
  </si>
  <si>
    <r>
      <rPr>
        <sz val="10"/>
        <rFont val="Noto Sans CJK SC"/>
        <family val="2"/>
      </rPr>
      <t xml:space="preserve">【按动作】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腿举 —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组</t>
    </r>
    <r>
      <rPr>
        <sz val="10"/>
        <rFont val="Arial"/>
        <family val="0"/>
        <charset val="1"/>
      </rPr>
      <t xml:space="preserve">×10 @180/270/360 lb</t>
    </r>
    <r>
      <rPr>
        <sz val="10"/>
        <rFont val="Noto Sans CJK SC"/>
        <family val="2"/>
      </rPr>
      <t xml:space="preserve">；脚尖朝前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外八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腿屈伸 — 重</t>
    </r>
    <r>
      <rPr>
        <sz val="10"/>
        <rFont val="Arial"/>
        <family val="0"/>
        <charset val="1"/>
      </rPr>
      <t xml:space="preserve">×5→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×10→</t>
    </r>
    <r>
      <rPr>
        <sz val="10"/>
        <rFont val="Noto Sans CJK SC"/>
        <family val="2"/>
      </rPr>
      <t xml:space="preserve">轻</t>
    </r>
    <r>
      <rPr>
        <sz val="10"/>
        <rFont val="Arial"/>
        <family val="0"/>
        <charset val="1"/>
      </rPr>
      <t xml:space="preserve">×15</t>
    </r>
    <r>
      <rPr>
        <sz val="10"/>
        <rFont val="Noto Sans CJK SC"/>
        <family val="2"/>
      </rPr>
      <t xml:space="preserve">；脚尖朝前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外八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腿弯举（卧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坐） — 重</t>
    </r>
    <r>
      <rPr>
        <sz val="10"/>
        <rFont val="Arial"/>
        <family val="0"/>
        <charset val="1"/>
      </rPr>
      <t xml:space="preserve">×5→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×10→</t>
    </r>
    <r>
      <rPr>
        <sz val="10"/>
        <rFont val="Noto Sans CJK SC"/>
        <family val="2"/>
      </rPr>
      <t xml:space="preserve">轻</t>
    </r>
    <r>
      <rPr>
        <sz val="10"/>
        <rFont val="Arial"/>
        <family val="0"/>
        <charset val="1"/>
      </rPr>
      <t xml:space="preserve">×15</t>
    </r>
    <r>
      <rPr>
        <sz val="10"/>
        <rFont val="Noto Sans CJK SC"/>
        <family val="2"/>
      </rPr>
      <t xml:space="preserve">；脚尖朝前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外八</t>
    </r>
  </si>
  <si>
    <t xml:space="preserve">[Per exercise]
1. Leg press — 4 sets×10 @180/270/360 lb ; toes forward + toes out
2. Leg extension — heavy×5→medium×10→light×15; toes forward + toes out
3. Leg curl (lying or seated) — heavy×5→medium×10→light×15; toes forward + toes out</t>
  </si>
  <si>
    <t xml:space="preserve">SQ06, SQ08, HG01</t>
  </si>
  <si>
    <t xml:space="preserve">C2</t>
  </si>
  <si>
    <t xml:space="preserve">high knee walk: shoulder a bar hanging 10lb weight, walk forward and backward
1 leg smarsh 10lb ball:lift the ball above head and smarsh into groud while 1 leg standing
yoga block body curve: stand on 2 blocks, leg straight and curve upper body to toe, to expand mussel near butt
1 leg stand on a half soft ball: 20s
heavy bar lyfting: 1 leg curve the other straight, lyft the bar from lower body to the top of head
towing the rack with weight walk forward and backward</t>
  </si>
  <si>
    <t xml:space="preserve">inbalance</t>
  </si>
  <si>
    <t xml:space="preserve">平衡</t>
  </si>
  <si>
    <t xml:space="preserve">Balance</t>
  </si>
  <si>
    <r>
      <rPr>
        <sz val="10"/>
        <rFont val="Noto Sans CJK SC"/>
        <family val="2"/>
      </rPr>
      <t xml:space="preserve">【按动作】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肩扛悬挂负重杆高抬腿走 — 挂</t>
    </r>
    <r>
      <rPr>
        <sz val="10"/>
        <rFont val="Arial"/>
        <family val="0"/>
        <charset val="1"/>
      </rPr>
      <t xml:space="preserve">10 lb</t>
    </r>
    <r>
      <rPr>
        <sz val="10"/>
        <rFont val="Noto Sans CJK SC"/>
        <family val="2"/>
      </rPr>
      <t xml:space="preserve">，前进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后退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单腿药球砸地 — </t>
    </r>
    <r>
      <rPr>
        <sz val="10"/>
        <rFont val="Arial"/>
        <family val="0"/>
        <charset val="1"/>
      </rPr>
      <t xml:space="preserve">10 lb
3. </t>
    </r>
    <r>
      <rPr>
        <sz val="10"/>
        <rFont val="Noto Sans CJK SC"/>
        <family val="2"/>
      </rPr>
      <t xml:space="preserve">站砖体前屈卷背
</t>
    </r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单腿站</t>
    </r>
    <r>
      <rPr>
        <sz val="10"/>
        <rFont val="Arial"/>
        <family val="0"/>
        <charset val="1"/>
      </rPr>
      <t xml:space="preserve">BOSU — 20</t>
    </r>
    <r>
      <rPr>
        <sz val="10"/>
        <rFont val="Noto Sans CJK SC"/>
        <family val="2"/>
      </rPr>
      <t xml:space="preserve">秒
</t>
    </r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雪橇推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拉 — 负重拖架前进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后退</t>
    </r>
  </si>
  <si>
    <t xml:space="preserve">[Per exercise]
1. High-knee walk with oscillating bar — 10 lb hanging, forward &amp; backward
2. Single-leg med-ball slam — 10 lb
3. Standing forward fold / Jefferson curl on blocks
4. Single-leg balance on BOSU — 20 s
5. Sled push &amp; drag — weighted drag forward &amp; backward</t>
  </si>
  <si>
    <t xml:space="preserve">BL03, BL02, BL04, BL01, PW09</t>
  </si>
  <si>
    <t xml:space="preserve">C3</t>
  </si>
  <si>
    <t xml:space="preserve">chest press machine: push up with rubber band, and with weight
push with 2 string machine: push upper head, middle of body, and lower boday
push ups afterward</t>
  </si>
  <si>
    <t xml:space="preserve">chest</t>
  </si>
  <si>
    <r>
      <rPr>
        <sz val="10"/>
        <rFont val="Noto Sans CJK SC"/>
        <family val="2"/>
      </rPr>
      <t xml:space="preserve">【按动作】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坐姿推胸机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弹力带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负重俯卧撑 — 弹力带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负重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绳索夹胸（高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低） — 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
</t>
    </r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俯卧撑（标准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宽距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贴地） — 收尾</t>
    </r>
  </si>
  <si>
    <t xml:space="preserve">[Per exercise]
1. Seated chest press machine
2. Banded or weighted push-up — band / weighted
3. Cable press / fly (high, mid, low) — high/mid/low
4. Push-up (standard / wide / hand-release) — finisher</t>
  </si>
  <si>
    <t xml:space="preserve">HPU01, HPU09, HPU07, HPU08</t>
  </si>
  <si>
    <t xml:space="preserve">C4</t>
  </si>
  <si>
    <t xml:space="preserve">single string: 1 hand pull with light weight*10, sit and pull with heavy weight *5, sit and pull up and down with light weight *10
 2 string machine: 15lb pull upper high, middle and low, 5 times each
vertical string: pull down with a bar</t>
  </si>
  <si>
    <t xml:space="preserve">back</t>
  </si>
  <si>
    <r>
      <rPr>
        <sz val="10"/>
        <rFont val="Noto Sans CJK SC"/>
        <family val="2"/>
      </rPr>
      <t xml:space="preserve">【按动作】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单臂器械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绳索划船 — 轻 </t>
    </r>
    <r>
      <rPr>
        <sz val="10"/>
        <rFont val="Arial"/>
        <family val="0"/>
        <charset val="1"/>
      </rPr>
      <t xml:space="preserve">× 10
2. </t>
    </r>
    <r>
      <rPr>
        <sz val="10"/>
        <rFont val="Noto Sans CJK SC"/>
        <family val="2"/>
      </rPr>
      <t xml:space="preserve">坐姿绳索划船 — 重 </t>
    </r>
    <r>
      <rPr>
        <sz val="10"/>
        <rFont val="Arial"/>
        <family val="0"/>
        <charset val="1"/>
      </rPr>
      <t xml:space="preserve">× 5</t>
    </r>
    <r>
      <rPr>
        <sz val="10"/>
        <rFont val="Noto Sans CJK SC"/>
        <family val="2"/>
      </rPr>
      <t xml:space="preserve">；再高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低位轻 </t>
    </r>
    <r>
      <rPr>
        <sz val="10"/>
        <rFont val="Arial"/>
        <family val="0"/>
        <charset val="1"/>
      </rPr>
      <t xml:space="preserve">× 10
3. </t>
    </r>
    <r>
      <rPr>
        <sz val="10"/>
        <rFont val="Noto Sans CJK SC"/>
        <family val="2"/>
      </rPr>
      <t xml:space="preserve">双绳高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低位拉 — </t>
    </r>
    <r>
      <rPr>
        <sz val="10"/>
        <rFont val="Arial"/>
        <family val="0"/>
        <charset val="1"/>
      </rPr>
      <t xml:space="preserve">15 lb 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低各 </t>
    </r>
    <r>
      <rPr>
        <sz val="10"/>
        <rFont val="Arial"/>
        <family val="0"/>
        <charset val="1"/>
      </rPr>
      <t xml:space="preserve">× 5
4. </t>
    </r>
    <r>
      <rPr>
        <sz val="10"/>
        <rFont val="Noto Sans CJK SC"/>
        <family val="2"/>
      </rPr>
      <t xml:space="preserve">高位下拉</t>
    </r>
  </si>
  <si>
    <t xml:space="preserve">[Per exercise]
1. Single-arm machine / cable row — light × 10
2. Seated cable row — heavy × 5; then high/lowlight × 10
3. Cable row – high, mid, low — 15 lb high/mid/loweach × 5
4. Lat pulldown</t>
  </si>
  <si>
    <t xml:space="preserve">HPL05, HPL01, HPL09, VPL03</t>
  </si>
  <si>
    <t xml:space="preserve">C5</t>
  </si>
  <si>
    <t xml:space="preserve">rubber band press inside and up
dumbbell up with locked elbow, and above head
standing with string machine: pull up and down</t>
  </si>
  <si>
    <t xml:space="preserve">arms and shoulder</t>
  </si>
  <si>
    <r>
      <rPr>
        <sz val="10"/>
        <rFont val="Noto Sans CJK SC"/>
        <family val="2"/>
      </rPr>
      <t xml:space="preserve">肩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手臂</t>
    </r>
  </si>
  <si>
    <t xml:space="preserve">Shoulders + Arms</t>
  </si>
  <si>
    <r>
      <rPr>
        <sz val="10"/>
        <rFont val="Noto Sans CJK SC"/>
        <family val="2"/>
      </rPr>
      <t xml:space="preserve">【按动作】
</t>
    </r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弹力带手臂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肩部练习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哑铃弯举（全幅度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锁肘） — 锁肘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坐姿哑铃颈后臂屈伸 — 过头
</t>
    </r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绳索弯举 — 站姿
</t>
    </r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绳索下压 — 站姿</t>
    </r>
  </si>
  <si>
    <t xml:space="preserve">[Per exercise]
1. Band arm &amp; shoulder work
2. Dumbbell curl (full ROM, fixed elbow) — fixed elb ow
3. Seated overhead dumbbell extension — overhead
4. Cable curl — standing
5. Cable triceps pushdown — standing</t>
  </si>
  <si>
    <t xml:space="preserve">SH09, BI02, TR04, BI04, TR06</t>
  </si>
  <si>
    <t xml:space="preserve">C6</t>
  </si>
  <si>
    <t xml:space="preserve">on the mat: 45 degrees, panjelem, look yr sneakers, russian twist, etc.</t>
  </si>
  <si>
    <t xml:space="preserve">core</t>
  </si>
  <si>
    <r>
      <rPr>
        <sz val="10"/>
        <rFont val="Noto Sans CJK SC"/>
        <family val="2"/>
      </rPr>
      <t xml:space="preserve">【垫上】
</t>
    </r>
    <r>
      <rPr>
        <sz val="10"/>
        <rFont val="Arial"/>
        <family val="0"/>
        <charset val="1"/>
      </rPr>
      <t xml:space="preserve">1. 45°</t>
    </r>
    <r>
      <rPr>
        <sz val="10"/>
        <rFont val="Noto Sans CJK SC"/>
        <family val="2"/>
      </rPr>
      <t xml:space="preserve">卷腹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仰卧交替踢腿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抬头看鞋卷腹
</t>
    </r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俄罗斯转体</t>
    </r>
  </si>
  <si>
    <t xml:space="preserve">[On the mat]
1. 45° crunch
2. Flutter kick
3. "Look at your sneakers" crunch
4. Russian twist</t>
  </si>
  <si>
    <t xml:space="preserve">CO14, CO18, CO17, CO13</t>
  </si>
  <si>
    <r>
      <rPr>
        <b val="true"/>
        <sz val="12"/>
        <rFont val="Noto Sans CJK SC"/>
        <family val="2"/>
      </rPr>
      <t xml:space="preserve">健身房 </t>
    </r>
    <r>
      <rPr>
        <b val="true"/>
        <sz val="12"/>
        <rFont val="Arial"/>
        <family val="0"/>
        <charset val="1"/>
      </rPr>
      <t xml:space="preserve">60 </t>
    </r>
    <r>
      <rPr>
        <b val="true"/>
        <sz val="12"/>
        <rFont val="Noto Sans CJK SC"/>
        <family val="2"/>
      </rPr>
      <t xml:space="preserve">分钟结构</t>
    </r>
  </si>
  <si>
    <t xml:space="preserve">时段</t>
  </si>
  <si>
    <t xml:space="preserve">内容</t>
  </si>
  <si>
    <r>
      <rPr>
        <b val="true"/>
        <sz val="10"/>
        <rFont val="Noto Sans CJK SC"/>
        <family val="2"/>
      </rPr>
      <t xml:space="preserve">组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次</t>
    </r>
  </si>
  <si>
    <t xml:space="preserve">组间休息</t>
  </si>
  <si>
    <t xml:space="preserve">说明</t>
  </si>
  <si>
    <t xml:space="preserve">0–8 min</t>
  </si>
  <si>
    <r>
      <rPr>
        <sz val="10"/>
        <rFont val="Noto Sans CJK SC"/>
        <family val="2"/>
      </rPr>
      <t xml:space="preserve">划船机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跑步机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分钟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个动态激活（如 </t>
    </r>
    <r>
      <rPr>
        <sz val="10"/>
        <rFont val="Arial"/>
        <family val="0"/>
        <charset val="1"/>
      </rPr>
      <t xml:space="preserve">HPL08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PW06 </t>
    </r>
    <r>
      <rPr>
        <sz val="10"/>
        <rFont val="Noto Sans CJK SC"/>
        <family val="2"/>
      </rPr>
      <t xml:space="preserve">轻量）</t>
    </r>
  </si>
  <si>
    <t xml:space="preserve">8–35 min</t>
  </si>
  <si>
    <r>
      <rPr>
        <sz val="10"/>
        <rFont val="Noto Sans CJK SC"/>
        <family val="2"/>
      </rPr>
      <t xml:space="preserve">大肌群：主项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辅项（</t>
    </r>
    <r>
      <rPr>
        <sz val="10"/>
        <rFont val="Arial"/>
        <family val="0"/>
        <charset val="1"/>
      </rPr>
      <t xml:space="preserve">2–3</t>
    </r>
    <r>
      <rPr>
        <sz val="10"/>
        <rFont val="Noto Sans CJK SC"/>
        <family val="2"/>
      </rPr>
      <t xml:space="preserve">个动作）</t>
    </r>
  </si>
  <si>
    <r>
      <rPr>
        <sz val="10"/>
        <rFont val="Noto Sans CJK SC"/>
        <family val="2"/>
      </rPr>
      <t xml:space="preserve">主项 </t>
    </r>
    <r>
      <rPr>
        <sz val="10"/>
        <rFont val="Arial"/>
        <family val="0"/>
        <charset val="1"/>
      </rPr>
      <t xml:space="preserve">4×6–8</t>
    </r>
    <r>
      <rPr>
        <sz val="10"/>
        <rFont val="Noto Sans CJK SC"/>
        <family val="2"/>
      </rPr>
      <t xml:space="preserve">；辅项 </t>
    </r>
    <r>
      <rPr>
        <sz val="10"/>
        <rFont val="Arial"/>
        <family val="0"/>
        <charset val="1"/>
      </rPr>
      <t xml:space="preserve">3×10–12</t>
    </r>
  </si>
  <si>
    <t xml:space="preserve">90–120 s / 60–90 s</t>
  </si>
  <si>
    <t xml:space="preserve">主项用最重的复合动作</t>
  </si>
  <si>
    <t xml:space="preserve">35–50 min</t>
  </si>
  <si>
    <r>
      <rPr>
        <sz val="10"/>
        <rFont val="Noto Sans CJK SC"/>
        <family val="2"/>
      </rPr>
      <t xml:space="preserve">小肌群：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个动作超级组</t>
    </r>
  </si>
  <si>
    <t xml:space="preserve">3×10–15</t>
  </si>
  <si>
    <t xml:space="preserve">45–60 s</t>
  </si>
  <si>
    <t xml:space="preserve">两个动作交替做，节省时间</t>
  </si>
  <si>
    <t xml:space="preserve">50–57 min</t>
  </si>
  <si>
    <r>
      <rPr>
        <sz val="10"/>
        <rFont val="Noto Sans CJK SC"/>
        <family val="2"/>
      </rPr>
      <t xml:space="preserve">核心：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个动作</t>
    </r>
  </si>
  <si>
    <r>
      <rPr>
        <sz val="10"/>
        <rFont val="Arial"/>
        <family val="0"/>
        <charset val="1"/>
      </rPr>
      <t xml:space="preserve">2–3</t>
    </r>
    <r>
      <rPr>
        <sz val="10"/>
        <rFont val="Noto Sans CJK SC"/>
        <family val="2"/>
      </rPr>
      <t xml:space="preserve">组</t>
    </r>
  </si>
  <si>
    <t xml:space="preserve">30–45 s</t>
  </si>
  <si>
    <t xml:space="preserve">每次都练</t>
  </si>
  <si>
    <t xml:space="preserve">57–60 min</t>
  </si>
  <si>
    <t xml:space="preserve">拉伸</t>
  </si>
  <si>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周轮转（每周：健身房</t>
    </r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次 </t>
    </r>
    <r>
      <rPr>
        <b val="true"/>
        <sz val="12"/>
        <rFont val="Arial"/>
        <family val="0"/>
        <charset val="1"/>
      </rPr>
      <t xml:space="preserve">+ </t>
    </r>
    <r>
      <rPr>
        <b val="true"/>
        <sz val="12"/>
        <rFont val="Noto Sans CJK SC"/>
        <family val="2"/>
      </rPr>
      <t xml:space="preserve">居家</t>
    </r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次）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</si>
  <si>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周：腿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肩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</si>
  <si>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周：背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二头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</si>
  <si>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周：胸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三头</t>
    </r>
  </si>
  <si>
    <t xml:space="preserve">健身房 大肌群主项</t>
  </si>
  <si>
    <r>
      <rPr>
        <sz val="10"/>
        <rFont val="Arial"/>
        <family val="0"/>
        <charset val="1"/>
      </rPr>
      <t xml:space="preserve">SQ06 </t>
    </r>
    <r>
      <rPr>
        <sz val="10"/>
        <rFont val="Noto Sans CJK SC"/>
        <family val="2"/>
      </rPr>
      <t xml:space="preserve">腿举 </t>
    </r>
    <r>
      <rPr>
        <sz val="10"/>
        <rFont val="Arial"/>
        <family val="0"/>
        <charset val="1"/>
      </rPr>
      <t xml:space="preserve">4×8–10
</t>
    </r>
    <r>
      <rPr>
        <sz val="10"/>
        <rFont val="Noto Sans CJK SC"/>
        <family val="2"/>
      </rPr>
      <t xml:space="preserve">（家里练不了大重量腿，健身房优先练腿机器）</t>
    </r>
  </si>
  <si>
    <r>
      <rPr>
        <sz val="10"/>
        <rFont val="Arial"/>
        <family val="0"/>
        <charset val="1"/>
      </rPr>
      <t xml:space="preserve">VPL01 </t>
    </r>
    <r>
      <rPr>
        <sz val="10"/>
        <rFont val="Noto Sans CJK SC"/>
        <family val="2"/>
      </rPr>
      <t xml:space="preserve">辅助引体 </t>
    </r>
    <r>
      <rPr>
        <sz val="10"/>
        <rFont val="Arial"/>
        <family val="0"/>
        <charset val="1"/>
      </rPr>
      <t xml:space="preserve">/ VPL03 </t>
    </r>
    <r>
      <rPr>
        <sz val="10"/>
        <rFont val="Noto Sans CJK SC"/>
        <family val="2"/>
      </rPr>
      <t xml:space="preserve">高位下拉 </t>
    </r>
    <r>
      <rPr>
        <sz val="10"/>
        <rFont val="Arial"/>
        <family val="0"/>
        <charset val="1"/>
      </rPr>
      <t xml:space="preserve">4×8–10</t>
    </r>
  </si>
  <si>
    <r>
      <rPr>
        <sz val="10"/>
        <rFont val="Arial"/>
        <family val="0"/>
        <charset val="1"/>
      </rPr>
      <t xml:space="preserve">HPU03 </t>
    </r>
    <r>
      <rPr>
        <sz val="10"/>
        <rFont val="Noto Sans CJK SC"/>
        <family val="2"/>
      </rPr>
      <t xml:space="preserve">杠铃卧推 </t>
    </r>
    <r>
      <rPr>
        <sz val="10"/>
        <rFont val="Arial"/>
        <family val="0"/>
        <charset val="1"/>
      </rPr>
      <t xml:space="preserve">4×6–8
</t>
    </r>
    <r>
      <rPr>
        <sz val="10"/>
        <rFont val="Noto Sans CJK SC"/>
        <family val="2"/>
      </rPr>
      <t xml:space="preserve">（家里没有卧推架）</t>
    </r>
  </si>
  <si>
    <t xml:space="preserve">健身房练家里做不了的：重腿、器械、绳索</t>
  </si>
  <si>
    <t xml:space="preserve">健身房 大肌群辅项</t>
  </si>
  <si>
    <r>
      <rPr>
        <sz val="10"/>
        <rFont val="Arial"/>
        <family val="0"/>
        <charset val="1"/>
      </rPr>
      <t xml:space="preserve">SQ08 </t>
    </r>
    <r>
      <rPr>
        <sz val="10"/>
        <rFont val="Noto Sans CJK SC"/>
        <family val="2"/>
      </rPr>
      <t xml:space="preserve">腿屈伸 </t>
    </r>
    <r>
      <rPr>
        <sz val="10"/>
        <rFont val="Arial"/>
        <family val="0"/>
        <charset val="1"/>
      </rPr>
      <t xml:space="preserve">3×12
HG01 </t>
    </r>
    <r>
      <rPr>
        <sz val="10"/>
        <rFont val="Noto Sans CJK SC"/>
        <family val="2"/>
      </rPr>
      <t xml:space="preserve">腿弯举 </t>
    </r>
    <r>
      <rPr>
        <sz val="10"/>
        <rFont val="Arial"/>
        <family val="0"/>
        <charset val="1"/>
      </rPr>
      <t xml:space="preserve">3×12</t>
    </r>
  </si>
  <si>
    <r>
      <rPr>
        <sz val="10"/>
        <rFont val="Arial"/>
        <family val="0"/>
        <charset val="1"/>
      </rPr>
      <t xml:space="preserve">HPL01 </t>
    </r>
    <r>
      <rPr>
        <sz val="10"/>
        <rFont val="Noto Sans CJK SC"/>
        <family val="2"/>
      </rPr>
      <t xml:space="preserve">坐姿绳索划船 </t>
    </r>
    <r>
      <rPr>
        <sz val="10"/>
        <rFont val="Arial"/>
        <family val="0"/>
        <charset val="1"/>
      </rPr>
      <t xml:space="preserve">3×10
HPL05 </t>
    </r>
    <r>
      <rPr>
        <sz val="10"/>
        <rFont val="Noto Sans CJK SC"/>
        <family val="2"/>
      </rPr>
      <t xml:space="preserve">单臂器械划船 </t>
    </r>
    <r>
      <rPr>
        <sz val="10"/>
        <rFont val="Arial"/>
        <family val="0"/>
        <charset val="1"/>
      </rPr>
      <t xml:space="preserve">3×10/</t>
    </r>
    <r>
      <rPr>
        <sz val="10"/>
        <rFont val="Noto Sans CJK SC"/>
        <family val="2"/>
      </rPr>
      <t xml:space="preserve">侧</t>
    </r>
  </si>
  <si>
    <r>
      <rPr>
        <sz val="10"/>
        <rFont val="Arial"/>
        <family val="0"/>
        <charset val="1"/>
      </rPr>
      <t xml:space="preserve">HPU07 </t>
    </r>
    <r>
      <rPr>
        <sz val="10"/>
        <rFont val="Noto Sans CJK SC"/>
        <family val="2"/>
      </rPr>
      <t xml:space="preserve">绳索夹胸 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低 </t>
    </r>
    <r>
      <rPr>
        <sz val="10"/>
        <rFont val="Arial"/>
        <family val="0"/>
        <charset val="1"/>
      </rPr>
      <t xml:space="preserve">3×12
HPU01 </t>
    </r>
    <r>
      <rPr>
        <sz val="10"/>
        <rFont val="Noto Sans CJK SC"/>
        <family val="2"/>
      </rPr>
      <t xml:space="preserve">推胸机 </t>
    </r>
    <r>
      <rPr>
        <sz val="10"/>
        <rFont val="Arial"/>
        <family val="0"/>
        <charset val="1"/>
      </rPr>
      <t xml:space="preserve">3×10</t>
    </r>
  </si>
  <si>
    <t xml:space="preserve">健身房 小肌群超级组</t>
  </si>
  <si>
    <r>
      <rPr>
        <sz val="10"/>
        <rFont val="Arial"/>
        <family val="0"/>
        <charset val="1"/>
      </rPr>
      <t xml:space="preserve">VPU02 </t>
    </r>
    <r>
      <rPr>
        <sz val="10"/>
        <rFont val="Noto Sans CJK SC"/>
        <family val="2"/>
      </rPr>
      <t xml:space="preserve">哑铃推举 </t>
    </r>
    <r>
      <rPr>
        <sz val="10"/>
        <rFont val="Arial"/>
        <family val="0"/>
        <charset val="1"/>
      </rPr>
      <t xml:space="preserve">3×10
+ SH01 </t>
    </r>
    <r>
      <rPr>
        <sz val="10"/>
        <rFont val="Noto Sans CJK SC"/>
        <family val="2"/>
      </rPr>
      <t xml:space="preserve">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侧平举 </t>
    </r>
    <r>
      <rPr>
        <sz val="10"/>
        <rFont val="Arial"/>
        <family val="0"/>
        <charset val="1"/>
      </rPr>
      <t xml:space="preserve">3×12</t>
    </r>
  </si>
  <si>
    <r>
      <rPr>
        <sz val="10"/>
        <rFont val="Arial"/>
        <family val="0"/>
        <charset val="1"/>
      </rPr>
      <t xml:space="preserve">BI04 </t>
    </r>
    <r>
      <rPr>
        <sz val="10"/>
        <rFont val="Noto Sans CJK SC"/>
        <family val="2"/>
      </rPr>
      <t xml:space="preserve">绳索弯举 </t>
    </r>
    <r>
      <rPr>
        <sz val="10"/>
        <rFont val="Arial"/>
        <family val="0"/>
        <charset val="1"/>
      </rPr>
      <t xml:space="preserve">3×12
+ BI01 </t>
    </r>
    <r>
      <rPr>
        <sz val="10"/>
        <rFont val="Noto Sans CJK SC"/>
        <family val="2"/>
      </rPr>
      <t xml:space="preserve">交叉锤式弯举 </t>
    </r>
    <r>
      <rPr>
        <sz val="10"/>
        <rFont val="Arial"/>
        <family val="0"/>
        <charset val="1"/>
      </rPr>
      <t xml:space="preserve">3×10</t>
    </r>
  </si>
  <si>
    <r>
      <rPr>
        <sz val="10"/>
        <rFont val="Arial"/>
        <family val="0"/>
        <charset val="1"/>
      </rPr>
      <t xml:space="preserve">TR06 </t>
    </r>
    <r>
      <rPr>
        <sz val="10"/>
        <rFont val="Noto Sans CJK SC"/>
        <family val="2"/>
      </rPr>
      <t xml:space="preserve">绳索下压 </t>
    </r>
    <r>
      <rPr>
        <sz val="10"/>
        <rFont val="Arial"/>
        <family val="0"/>
        <charset val="1"/>
      </rPr>
      <t xml:space="preserve">3×12
+ TR01 </t>
    </r>
    <r>
      <rPr>
        <sz val="10"/>
        <rFont val="Noto Sans CJK SC"/>
        <family val="2"/>
      </rPr>
      <t xml:space="preserve">碎颅者 </t>
    </r>
    <r>
      <rPr>
        <sz val="10"/>
        <rFont val="Arial"/>
        <family val="0"/>
        <charset val="1"/>
      </rPr>
      <t xml:space="preserve">3×10</t>
    </r>
  </si>
  <si>
    <t xml:space="preserve">健身房 核心</t>
  </si>
  <si>
    <r>
      <rPr>
        <sz val="10"/>
        <rFont val="Arial"/>
        <family val="0"/>
        <charset val="1"/>
      </rPr>
      <t xml:space="preserve">CO06 </t>
    </r>
    <r>
      <rPr>
        <sz val="10"/>
        <rFont val="Noto Sans CJK SC"/>
        <family val="2"/>
      </rPr>
      <t xml:space="preserve">罗马椅举腿 </t>
    </r>
    <r>
      <rPr>
        <sz val="10"/>
        <rFont val="Arial"/>
        <family val="0"/>
        <charset val="1"/>
      </rPr>
      <t xml:space="preserve">+ CO08 </t>
    </r>
    <r>
      <rPr>
        <sz val="10"/>
        <rFont val="Noto Sans CJK SC"/>
        <family val="2"/>
      </rPr>
      <t xml:space="preserve">平板</t>
    </r>
  </si>
  <si>
    <r>
      <rPr>
        <sz val="10"/>
        <rFont val="Arial"/>
        <family val="0"/>
        <charset val="1"/>
      </rPr>
      <t xml:space="preserve">CO03 </t>
    </r>
    <r>
      <rPr>
        <sz val="10"/>
        <rFont val="Noto Sans CJK SC"/>
        <family val="2"/>
      </rPr>
      <t xml:space="preserve">健腹轮 </t>
    </r>
    <r>
      <rPr>
        <sz val="10"/>
        <rFont val="Arial"/>
        <family val="0"/>
        <charset val="1"/>
      </rPr>
      <t xml:space="preserve">+ CO13 </t>
    </r>
    <r>
      <rPr>
        <sz val="10"/>
        <rFont val="Noto Sans CJK SC"/>
        <family val="2"/>
      </rPr>
      <t xml:space="preserve">俄罗斯转体</t>
    </r>
  </si>
  <si>
    <r>
      <rPr>
        <sz val="10"/>
        <rFont val="Arial"/>
        <family val="0"/>
        <charset val="1"/>
      </rPr>
      <t xml:space="preserve">CO01 </t>
    </r>
    <r>
      <rPr>
        <sz val="10"/>
        <rFont val="Noto Sans CJK SC"/>
        <family val="2"/>
      </rPr>
      <t xml:space="preserve">负重仰卧起坐 </t>
    </r>
    <r>
      <rPr>
        <sz val="10"/>
        <rFont val="Arial"/>
        <family val="0"/>
        <charset val="1"/>
      </rPr>
      <t xml:space="preserve">+ CO11 BOSU</t>
    </r>
    <r>
      <rPr>
        <sz val="10"/>
        <rFont val="Noto Sans CJK SC"/>
        <family val="2"/>
      </rPr>
      <t xml:space="preserve">交叉触碰</t>
    </r>
  </si>
  <si>
    <r>
      <rPr>
        <b val="true"/>
        <sz val="10"/>
        <rFont val="Noto Sans CJK SC"/>
        <family val="2"/>
      </rPr>
      <t xml:space="preserve">居家（</t>
    </r>
    <r>
      <rPr>
        <b val="true"/>
        <sz val="10"/>
        <rFont val="Arial"/>
        <family val="0"/>
        <charset val="1"/>
      </rPr>
      <t xml:space="preserve">40–45</t>
    </r>
    <r>
      <rPr>
        <b val="true"/>
        <sz val="10"/>
        <rFont val="Noto Sans CJK SC"/>
        <family val="2"/>
      </rPr>
      <t xml:space="preserve">分钟）
练另外两个大肌群</t>
    </r>
  </si>
  <si>
    <r>
      <rPr>
        <sz val="10"/>
        <rFont val="Noto Sans CJK SC"/>
        <family val="2"/>
      </rPr>
      <t xml:space="preserve">【背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胸】
</t>
    </r>
    <r>
      <rPr>
        <sz val="10"/>
        <rFont val="Arial"/>
        <family val="0"/>
        <charset val="1"/>
      </rPr>
      <t xml:space="preserve">VPL02 </t>
    </r>
    <r>
      <rPr>
        <sz val="10"/>
        <rFont val="Noto Sans CJK SC"/>
        <family val="2"/>
      </rPr>
      <t xml:space="preserve">引体向上 </t>
    </r>
    <r>
      <rPr>
        <sz val="10"/>
        <rFont val="Arial"/>
        <family val="0"/>
        <charset val="1"/>
      </rPr>
      <t xml:space="preserve">4×</t>
    </r>
    <r>
      <rPr>
        <sz val="10"/>
        <rFont val="Noto Sans CJK SC"/>
        <family val="2"/>
      </rPr>
      <t xml:space="preserve">力竭（或负离心）
</t>
    </r>
    <r>
      <rPr>
        <sz val="10"/>
        <rFont val="Arial"/>
        <family val="0"/>
        <charset val="1"/>
      </rPr>
      <t xml:space="preserve">HPU04 </t>
    </r>
    <r>
      <rPr>
        <sz val="10"/>
        <rFont val="Noto Sans CJK SC"/>
        <family val="2"/>
      </rPr>
      <t xml:space="preserve">哑铃卧推 </t>
    </r>
    <r>
      <rPr>
        <sz val="10"/>
        <rFont val="Arial"/>
        <family val="0"/>
        <charset val="1"/>
      </rPr>
      <t xml:space="preserve">4×10–12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45 lb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HPL04 </t>
    </r>
    <r>
      <rPr>
        <sz val="10"/>
        <rFont val="Noto Sans CJK SC"/>
        <family val="2"/>
      </rPr>
      <t xml:space="preserve">单臂哑铃划船 </t>
    </r>
    <r>
      <rPr>
        <sz val="10"/>
        <rFont val="Arial"/>
        <family val="0"/>
        <charset val="1"/>
      </rPr>
      <t xml:space="preserve">3×10/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HPU05 </t>
    </r>
    <r>
      <rPr>
        <sz val="10"/>
        <rFont val="Noto Sans CJK SC"/>
        <family val="2"/>
      </rPr>
      <t xml:space="preserve">上斜哑铃卧推 </t>
    </r>
    <r>
      <rPr>
        <sz val="10"/>
        <rFont val="Arial"/>
        <family val="0"/>
        <charset val="1"/>
      </rPr>
      <t xml:space="preserve">3×12
HPL08 TRX</t>
    </r>
    <r>
      <rPr>
        <sz val="10"/>
        <rFont val="Noto Sans CJK SC"/>
        <family val="2"/>
      </rPr>
      <t xml:space="preserve">划船 </t>
    </r>
    <r>
      <rPr>
        <sz val="10"/>
        <rFont val="Arial"/>
        <family val="0"/>
        <charset val="1"/>
      </rPr>
      <t xml:space="preserve">3×12
CO03 </t>
    </r>
    <r>
      <rPr>
        <sz val="10"/>
        <rFont val="Noto Sans CJK SC"/>
        <family val="2"/>
      </rPr>
      <t xml:space="preserve">健腹轮 </t>
    </r>
    <r>
      <rPr>
        <sz val="10"/>
        <rFont val="Arial"/>
        <family val="0"/>
        <charset val="1"/>
      </rPr>
      <t xml:space="preserve">3×10</t>
    </r>
  </si>
  <si>
    <r>
      <rPr>
        <sz val="10"/>
        <rFont val="Noto Sans CJK SC"/>
        <family val="2"/>
      </rPr>
      <t xml:space="preserve">【胸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腿】
</t>
    </r>
    <r>
      <rPr>
        <sz val="10"/>
        <rFont val="Arial"/>
        <family val="0"/>
        <charset val="1"/>
      </rPr>
      <t xml:space="preserve">HPU04 </t>
    </r>
    <r>
      <rPr>
        <sz val="10"/>
        <rFont val="Noto Sans CJK SC"/>
        <family val="2"/>
      </rPr>
      <t xml:space="preserve">哑铃卧推 </t>
    </r>
    <r>
      <rPr>
        <sz val="10"/>
        <rFont val="Arial"/>
        <family val="0"/>
        <charset val="1"/>
      </rPr>
      <t xml:space="preserve">4×10–12
SL01 </t>
    </r>
    <r>
      <rPr>
        <sz val="10"/>
        <rFont val="Noto Sans CJK SC"/>
        <family val="2"/>
      </rPr>
      <t xml:space="preserve">保加利亚分腿蹲 </t>
    </r>
    <r>
      <rPr>
        <sz val="10"/>
        <rFont val="Arial"/>
        <family val="0"/>
        <charset val="1"/>
      </rPr>
      <t xml:space="preserve">3×10/</t>
    </r>
    <r>
      <rPr>
        <sz val="10"/>
        <rFont val="Noto Sans CJK SC"/>
        <family val="2"/>
      </rPr>
      <t xml:space="preserve">侧（双哑铃）
</t>
    </r>
    <r>
      <rPr>
        <sz val="10"/>
        <rFont val="Arial"/>
        <family val="0"/>
        <charset val="1"/>
      </rPr>
      <t xml:space="preserve">HG02 </t>
    </r>
    <r>
      <rPr>
        <sz val="10"/>
        <rFont val="Noto Sans CJK SC"/>
        <family val="2"/>
      </rPr>
      <t xml:space="preserve">杠铃罗马尼亚硬拉 </t>
    </r>
    <r>
      <rPr>
        <sz val="10"/>
        <rFont val="Arial"/>
        <family val="0"/>
        <charset val="1"/>
      </rPr>
      <t xml:space="preserve">3×10
HPU06 </t>
    </r>
    <r>
      <rPr>
        <sz val="10"/>
        <rFont val="Noto Sans CJK SC"/>
        <family val="2"/>
      </rPr>
      <t xml:space="preserve">哑铃飞鸟 </t>
    </r>
    <r>
      <rPr>
        <sz val="10"/>
        <rFont val="Arial"/>
        <family val="0"/>
        <charset val="1"/>
      </rPr>
      <t xml:space="preserve">3×12
HG06 </t>
    </r>
    <r>
      <rPr>
        <sz val="10"/>
        <rFont val="Noto Sans CJK SC"/>
        <family val="2"/>
      </rPr>
      <t xml:space="preserve">弹力圈臀桥 </t>
    </r>
    <r>
      <rPr>
        <sz val="10"/>
        <rFont val="Arial"/>
        <family val="0"/>
        <charset val="1"/>
      </rPr>
      <t xml:space="preserve">2×15
CO04 TRX</t>
    </r>
    <r>
      <rPr>
        <sz val="10"/>
        <rFont val="Noto Sans CJK SC"/>
        <family val="2"/>
      </rPr>
      <t xml:space="preserve">跪姿展腹 </t>
    </r>
    <r>
      <rPr>
        <sz val="10"/>
        <rFont val="Arial"/>
        <family val="0"/>
        <charset val="1"/>
      </rPr>
      <t xml:space="preserve">3×10</t>
    </r>
  </si>
  <si>
    <r>
      <rPr>
        <sz val="10"/>
        <rFont val="Noto Sans CJK SC"/>
        <family val="2"/>
      </rPr>
      <t xml:space="preserve">【背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腿】
</t>
    </r>
    <r>
      <rPr>
        <sz val="10"/>
        <rFont val="Arial"/>
        <family val="0"/>
        <charset val="1"/>
      </rPr>
      <t xml:space="preserve">VPL02 </t>
    </r>
    <r>
      <rPr>
        <sz val="10"/>
        <rFont val="Noto Sans CJK SC"/>
        <family val="2"/>
      </rPr>
      <t xml:space="preserve">引体向上 </t>
    </r>
    <r>
      <rPr>
        <sz val="10"/>
        <rFont val="Arial"/>
        <family val="0"/>
        <charset val="1"/>
      </rPr>
      <t xml:space="preserve">4×</t>
    </r>
    <r>
      <rPr>
        <sz val="10"/>
        <rFont val="Noto Sans CJK SC"/>
        <family val="2"/>
      </rPr>
      <t xml:space="preserve">力竭
</t>
    </r>
    <r>
      <rPr>
        <sz val="10"/>
        <rFont val="Arial"/>
        <family val="0"/>
        <charset val="1"/>
      </rPr>
      <t xml:space="preserve">HG02 </t>
    </r>
    <r>
      <rPr>
        <sz val="10"/>
        <rFont val="Noto Sans CJK SC"/>
        <family val="2"/>
      </rPr>
      <t xml:space="preserve">杠铃罗马尼亚硬拉 </t>
    </r>
    <r>
      <rPr>
        <sz val="10"/>
        <rFont val="Arial"/>
        <family val="0"/>
        <charset val="1"/>
      </rPr>
      <t xml:space="preserve">4×8
SL01 </t>
    </r>
    <r>
      <rPr>
        <sz val="10"/>
        <rFont val="Noto Sans CJK SC"/>
        <family val="2"/>
      </rPr>
      <t xml:space="preserve">保加利亚分腿蹲 </t>
    </r>
    <r>
      <rPr>
        <sz val="10"/>
        <rFont val="Arial"/>
        <family val="0"/>
        <charset val="1"/>
      </rPr>
      <t xml:space="preserve">3×10/</t>
    </r>
    <r>
      <rPr>
        <sz val="10"/>
        <rFont val="Noto Sans CJK SC"/>
        <family val="2"/>
      </rPr>
      <t xml:space="preserve">侧
</t>
    </r>
    <r>
      <rPr>
        <sz val="10"/>
        <rFont val="Arial"/>
        <family val="0"/>
        <charset val="1"/>
      </rPr>
      <t xml:space="preserve">HPL06 </t>
    </r>
    <r>
      <rPr>
        <sz val="10"/>
        <rFont val="Noto Sans CJK SC"/>
        <family val="2"/>
      </rPr>
      <t xml:space="preserve">上斜俯卧哑铃划船 </t>
    </r>
    <r>
      <rPr>
        <sz val="10"/>
        <rFont val="Arial"/>
        <family val="0"/>
        <charset val="1"/>
      </rPr>
      <t xml:space="preserve">3×10
HPL08 TRX</t>
    </r>
    <r>
      <rPr>
        <sz val="10"/>
        <rFont val="Noto Sans CJK SC"/>
        <family val="2"/>
      </rPr>
      <t xml:space="preserve">划船 </t>
    </r>
    <r>
      <rPr>
        <sz val="10"/>
        <rFont val="Arial"/>
        <family val="0"/>
        <charset val="1"/>
      </rPr>
      <t xml:space="preserve">3×12
CO07 </t>
    </r>
    <r>
      <rPr>
        <sz val="10"/>
        <rFont val="Noto Sans CJK SC"/>
        <family val="2"/>
      </rPr>
      <t xml:space="preserve">悬垂举腿 </t>
    </r>
    <r>
      <rPr>
        <sz val="10"/>
        <rFont val="Arial"/>
        <family val="0"/>
        <charset val="1"/>
      </rPr>
      <t xml:space="preserve">3×10</t>
    </r>
  </si>
  <si>
    <r>
      <rPr>
        <sz val="10"/>
        <rFont val="Arial"/>
        <family val="0"/>
        <charset val="1"/>
      </rPr>
      <t xml:space="preserve">45 lb </t>
    </r>
    <r>
      <rPr>
        <sz val="10"/>
        <rFont val="Noto Sans CJK SC"/>
        <family val="2"/>
      </rPr>
      <t xml:space="preserve">哑铃做卧推、划船都够用；腿部单腿动作（分腿蹲）比双腿蹲更能用满家里的重量</t>
    </r>
  </si>
  <si>
    <t xml:space="preserve">本周练到</t>
  </si>
  <si>
    <r>
      <rPr>
        <sz val="10"/>
        <rFont val="Noto Sans CJK SC"/>
        <family val="2"/>
      </rPr>
      <t xml:space="preserve">腿（健身房）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背、胸（居家）</t>
    </r>
  </si>
  <si>
    <r>
      <rPr>
        <sz val="10"/>
        <rFont val="Noto Sans CJK SC"/>
        <family val="2"/>
      </rPr>
      <t xml:space="preserve">背（健身房）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胸、腿（居家）</t>
    </r>
  </si>
  <si>
    <r>
      <rPr>
        <sz val="10"/>
        <rFont val="Noto Sans CJK SC"/>
        <family val="2"/>
      </rPr>
      <t xml:space="preserve">胸（健身房）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背、腿（居家）</t>
    </r>
  </si>
  <si>
    <r>
      <rPr>
        <sz val="10"/>
        <rFont val="Noto Sans CJK SC"/>
        <family val="2"/>
      </rPr>
      <t xml:space="preserve">每周三大肌群都练到；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周内每个大肌群：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次健身房重练 </t>
    </r>
    <r>
      <rPr>
        <sz val="10"/>
        <rFont val="Arial"/>
        <family val="0"/>
        <charset val="1"/>
      </rPr>
      <t xml:space="preserve">+ 2</t>
    </r>
    <r>
      <rPr>
        <sz val="10"/>
        <rFont val="Noto Sans CJK SC"/>
        <family val="2"/>
      </rPr>
      <t xml:space="preserve">次居家</t>
    </r>
  </si>
  <si>
    <r>
      <rPr>
        <sz val="10"/>
        <rFont val="Noto Sans CJK SC"/>
        <family val="2"/>
      </rPr>
      <t xml:space="preserve">进阶规则（双重渐进）：每个动作设次数区间（如 </t>
    </r>
    <r>
      <rPr>
        <sz val="10"/>
        <rFont val="Arial"/>
        <family val="0"/>
        <charset val="1"/>
      </rPr>
      <t xml:space="preserve">8–10</t>
    </r>
    <r>
      <rPr>
        <sz val="10"/>
        <rFont val="Noto Sans CJK SC"/>
        <family val="2"/>
      </rPr>
      <t xml:space="preserve">）。所有组都做到上限 → 下次加重 </t>
    </r>
    <r>
      <rPr>
        <sz val="10"/>
        <rFont val="Arial"/>
        <family val="0"/>
        <charset val="1"/>
      </rPr>
      <t xml:space="preserve">5 lb</t>
    </r>
    <r>
      <rPr>
        <sz val="10"/>
        <rFont val="Noto Sans CJK SC"/>
        <family val="2"/>
      </rPr>
      <t xml:space="preserve">（下肢可加 </t>
    </r>
    <r>
      <rPr>
        <sz val="10"/>
        <rFont val="Arial"/>
        <family val="0"/>
        <charset val="1"/>
      </rPr>
      <t xml:space="preserve">10 lb</t>
    </r>
    <r>
      <rPr>
        <sz val="10"/>
        <rFont val="Noto Sans CJK SC"/>
        <family val="2"/>
      </rPr>
      <t xml:space="preserve">），次数回到下限。</t>
    </r>
  </si>
  <si>
    <r>
      <rPr>
        <sz val="10"/>
        <rFont val="Noto Sans CJK SC"/>
        <family val="2"/>
      </rPr>
      <t xml:space="preserve">每做完一轮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周，可把主项换成同类别的其他动作（例如 </t>
    </r>
    <r>
      <rPr>
        <sz val="10"/>
        <rFont val="Arial"/>
        <family val="0"/>
        <charset val="1"/>
      </rPr>
      <t xml:space="preserve">SQ06 ↔ SQ01 ↔ SQ05</t>
    </r>
    <r>
      <rPr>
        <sz val="10"/>
        <rFont val="Noto Sans CJK SC"/>
        <family val="2"/>
      </rPr>
      <t xml:space="preserve">），保持新鲜感又不打乱结构。</t>
    </r>
  </si>
  <si>
    <t xml:space="preserve">若某周只去了健身房、没练居家，下周不补，按顺序继续轮转即可。</t>
  </si>
  <si>
    <r>
      <rPr>
        <b val="true"/>
        <sz val="10"/>
        <color rgb="FFFFFFFF"/>
        <rFont val="Noto Sans CJK SC"/>
        <family val="2"/>
      </rPr>
      <t xml:space="preserve">日期 </t>
    </r>
    <r>
      <rPr>
        <b val="true"/>
        <sz val="10"/>
        <color rgb="FFFFFFFF"/>
        <rFont val="Arial"/>
        <family val="0"/>
        <charset val="1"/>
      </rPr>
      <t xml:space="preserve">Date</t>
    </r>
  </si>
  <si>
    <r>
      <rPr>
        <b val="true"/>
        <sz val="10"/>
        <color rgb="FFFFFFFF"/>
        <rFont val="Noto Sans CJK SC"/>
        <family val="2"/>
      </rPr>
      <t xml:space="preserve">场次 </t>
    </r>
    <r>
      <rPr>
        <b val="true"/>
        <sz val="10"/>
        <color rgb="FFFFFFFF"/>
        <rFont val="Arial"/>
        <family val="0"/>
        <charset val="1"/>
      </rPr>
      <t xml:space="preserve">Session</t>
    </r>
  </si>
  <si>
    <t xml:space="preserve">动作名（自动）</t>
  </si>
  <si>
    <r>
      <rPr>
        <b val="true"/>
        <sz val="10"/>
        <color rgb="FFFFFFFF"/>
        <rFont val="Noto Sans CJK SC"/>
        <family val="2"/>
      </rPr>
      <t xml:space="preserve">组号 </t>
    </r>
    <r>
      <rPr>
        <b val="true"/>
        <sz val="10"/>
        <color rgb="FFFFFFFF"/>
        <rFont val="Arial"/>
        <family val="0"/>
        <charset val="1"/>
      </rPr>
      <t xml:space="preserve">Set</t>
    </r>
  </si>
  <si>
    <r>
      <rPr>
        <b val="true"/>
        <sz val="10"/>
        <color rgb="FFFFFFFF"/>
        <rFont val="Noto Sans CJK SC"/>
        <family val="2"/>
      </rPr>
      <t xml:space="preserve">重量 </t>
    </r>
    <r>
      <rPr>
        <b val="true"/>
        <sz val="10"/>
        <color rgb="FFFFFFFF"/>
        <rFont val="Arial"/>
        <family val="0"/>
        <charset val="1"/>
      </rPr>
      <t xml:space="preserve">lb</t>
    </r>
  </si>
  <si>
    <r>
      <rPr>
        <b val="true"/>
        <sz val="10"/>
        <color rgb="FFFFFFFF"/>
        <rFont val="Noto Sans CJK SC"/>
        <family val="2"/>
      </rPr>
      <t xml:space="preserve">次数 </t>
    </r>
    <r>
      <rPr>
        <b val="true"/>
        <sz val="10"/>
        <color rgb="FFFFFFFF"/>
        <rFont val="Arial"/>
        <family val="0"/>
        <charset val="1"/>
      </rPr>
      <t xml:space="preserve">Reps</t>
    </r>
  </si>
  <si>
    <t xml:space="preserve">RPE (1–10)</t>
  </si>
  <si>
    <t xml:space="preserve">备注</t>
  </si>
  <si>
    <r>
      <rPr>
        <b val="true"/>
        <sz val="10"/>
        <rFont val="Noto Sans CJK SC"/>
        <family val="2"/>
      </rPr>
      <t xml:space="preserve">填写说明：每组一行；只需填 日期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场次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动作</t>
    </r>
    <r>
      <rPr>
        <b val="true"/>
        <sz val="10"/>
        <rFont val="Arial"/>
        <family val="0"/>
        <charset val="1"/>
      </rPr>
      <t xml:space="preserve">ID/</t>
    </r>
    <r>
      <rPr>
        <b val="true"/>
        <sz val="10"/>
        <rFont val="Noto Sans CJK SC"/>
        <family val="2"/>
      </rPr>
      <t xml:space="preserve">重量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次数，动作名会自动带出。</t>
    </r>
  </si>
  <si>
    <t xml:space="preserve">2026-10-26</t>
  </si>
  <si>
    <r>
      <rPr>
        <i val="true"/>
        <sz val="10"/>
        <color rgb="FF808080"/>
        <rFont val="Arial"/>
        <family val="0"/>
        <charset val="1"/>
      </rPr>
      <t xml:space="preserve">A</t>
    </r>
    <r>
      <rPr>
        <i val="true"/>
        <sz val="10"/>
        <color rgb="FF808080"/>
        <rFont val="Noto Sans CJK SC"/>
        <family val="2"/>
      </rPr>
      <t xml:space="preserve">周</t>
    </r>
    <r>
      <rPr>
        <i val="true"/>
        <sz val="10"/>
        <color rgb="FF808080"/>
        <rFont val="Arial"/>
        <family val="0"/>
        <charset val="1"/>
      </rPr>
      <t xml:space="preserve">-</t>
    </r>
    <r>
      <rPr>
        <i val="true"/>
        <sz val="10"/>
        <color rgb="FF808080"/>
        <rFont val="Noto Sans CJK SC"/>
        <family val="2"/>
      </rPr>
      <t xml:space="preserve">健身房</t>
    </r>
  </si>
  <si>
    <r>
      <rPr>
        <i val="true"/>
        <sz val="10"/>
        <color rgb="FF808080"/>
        <rFont val="Noto Sans CJK SC"/>
        <family val="2"/>
      </rPr>
      <t xml:space="preserve">示例行 </t>
    </r>
    <r>
      <rPr>
        <i val="true"/>
        <sz val="10"/>
        <color rgb="FF808080"/>
        <rFont val="Arial"/>
        <family val="0"/>
        <charset val="1"/>
      </rPr>
      <t xml:space="preserve">Example — </t>
    </r>
    <r>
      <rPr>
        <i val="true"/>
        <sz val="10"/>
        <color rgb="FF808080"/>
        <rFont val="Noto Sans CJK SC"/>
        <family val="2"/>
      </rPr>
      <t xml:space="preserve">可删除</t>
    </r>
  </si>
  <si>
    <t xml:space="preserve">器材</t>
  </si>
  <si>
    <r>
      <rPr>
        <b val="true"/>
        <sz val="10"/>
        <color rgb="FFFFFFFF"/>
        <rFont val="Noto Sans CJK SC"/>
        <family val="2"/>
      </rPr>
      <t xml:space="preserve">规格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上限</t>
    </r>
  </si>
  <si>
    <t xml:space="preserve">主要用途</t>
  </si>
  <si>
    <r>
      <rPr>
        <sz val="10"/>
        <rFont val="Noto Sans CJK SC"/>
        <family val="2"/>
      </rPr>
      <t xml:space="preserve">可调哑铃 </t>
    </r>
    <r>
      <rPr>
        <sz val="10"/>
        <rFont val="Arial"/>
        <family val="0"/>
        <charset val="1"/>
      </rPr>
      <t xml:space="preserve">×2</t>
    </r>
  </si>
  <si>
    <r>
      <rPr>
        <sz val="10"/>
        <rFont val="Noto Sans CJK SC"/>
        <family val="2"/>
      </rPr>
      <t xml:space="preserve">每只最高 </t>
    </r>
    <r>
      <rPr>
        <sz val="10"/>
        <rFont val="Arial"/>
        <family val="0"/>
        <charset val="1"/>
      </rPr>
      <t xml:space="preserve">45 lb</t>
    </r>
  </si>
  <si>
    <t xml:space="preserve">卧推、划船、推举、弯举、分腿蹲、高脚杯深蹲、摆荡（代替壶铃）</t>
  </si>
  <si>
    <r>
      <rPr>
        <sz val="10"/>
        <rFont val="Noto Sans CJK SC"/>
        <family val="2"/>
      </rPr>
      <t xml:space="preserve">杠铃杆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杠铃片</t>
    </r>
  </si>
  <si>
    <r>
      <rPr>
        <sz val="10"/>
        <rFont val="Noto Sans CJK SC"/>
        <family val="2"/>
      </rPr>
      <t xml:space="preserve">片最多 </t>
    </r>
    <r>
      <rPr>
        <sz val="10"/>
        <rFont val="Arial"/>
        <family val="0"/>
        <charset val="1"/>
      </rPr>
      <t xml:space="preserve">90 lb</t>
    </r>
    <r>
      <rPr>
        <sz val="10"/>
        <rFont val="Noto Sans CJK SC"/>
        <family val="2"/>
      </rPr>
      <t xml:space="preserve">（不含杆）</t>
    </r>
  </si>
  <si>
    <t xml:space="preserve">罗马尼亚硬拉、硬拉、划船、前蹲（无深蹲架，需翻上肩）</t>
  </si>
  <si>
    <r>
      <rPr>
        <sz val="10"/>
        <rFont val="Noto Sans CJK SC"/>
        <family val="2"/>
      </rPr>
      <t xml:space="preserve">曲杆 </t>
    </r>
    <r>
      <rPr>
        <sz val="10"/>
        <rFont val="Arial"/>
        <family val="0"/>
        <charset val="1"/>
      </rPr>
      <t xml:space="preserve">EZ bar</t>
    </r>
  </si>
  <si>
    <t xml:space="preserve">碎颅者、仰卧过头臂屈伸、弯举</t>
  </si>
  <si>
    <t xml:space="preserve">可调训练凳</t>
  </si>
  <si>
    <r>
      <rPr>
        <sz val="10"/>
        <rFont val="Noto Sans CJK SC"/>
        <family val="2"/>
      </rPr>
      <t xml:space="preserve">无腿屈伸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腿弯举附件</t>
    </r>
  </si>
  <si>
    <t xml:space="preserve">卧推、上斜、单臂划船、分腿蹲、凳上臂屈伸</t>
  </si>
  <si>
    <r>
      <rPr>
        <sz val="10"/>
        <rFont val="Noto Sans CJK SC"/>
        <family val="2"/>
      </rPr>
      <t xml:space="preserve">引体向上、悬垂举腿、挂</t>
    </r>
    <r>
      <rPr>
        <sz val="10"/>
        <rFont val="Arial"/>
        <family val="0"/>
        <charset val="1"/>
      </rPr>
      <t xml:space="preserve">TRX</t>
    </r>
  </si>
  <si>
    <r>
      <rPr>
        <sz val="10"/>
        <rFont val="Arial"/>
        <family val="0"/>
        <charset val="1"/>
      </rPr>
      <t xml:space="preserve">TRX </t>
    </r>
    <r>
      <rPr>
        <sz val="10"/>
        <rFont val="Noto Sans CJK SC"/>
        <family val="2"/>
      </rPr>
      <t xml:space="preserve">悬挂带</t>
    </r>
  </si>
  <si>
    <t xml:space="preserve">挂引体架</t>
  </si>
  <si>
    <r>
      <rPr>
        <sz val="10"/>
        <rFont val="Noto Sans CJK SC"/>
        <family val="2"/>
      </rPr>
      <t xml:space="preserve">划船、</t>
    </r>
    <r>
      <rPr>
        <sz val="10"/>
        <rFont val="Arial"/>
        <family val="0"/>
        <charset val="1"/>
      </rPr>
      <t xml:space="preserve">Y/T</t>
    </r>
    <r>
      <rPr>
        <sz val="10"/>
        <rFont val="Noto Sans CJK SC"/>
        <family val="2"/>
      </rPr>
      <t xml:space="preserve">飞、展腹、俯卧撑收腹、腿弯举</t>
    </r>
  </si>
  <si>
    <r>
      <rPr>
        <sz val="10"/>
        <rFont val="Noto Sans CJK SC"/>
        <family val="2"/>
      </rPr>
      <t xml:space="preserve">布弹力圈 </t>
    </r>
    <r>
      <rPr>
        <sz val="10"/>
        <rFont val="Arial"/>
        <family val="0"/>
        <charset val="1"/>
      </rPr>
      <t xml:space="preserve">×3</t>
    </r>
  </si>
  <si>
    <t xml:space="preserve">三种阻力</t>
  </si>
  <si>
    <t xml:space="preserve">臀桥外展、侧向行走、热身激活</t>
  </si>
  <si>
    <t xml:space="preserve">瑜伽垫</t>
  </si>
  <si>
    <t xml:space="preserve">核心、拉伸</t>
  </si>
  <si>
    <r>
      <rPr>
        <sz val="10"/>
        <rFont val="Noto Sans CJK SC"/>
        <family val="2"/>
      </rPr>
      <t xml:space="preserve">缺少（相关动作已标注替代）：壶铃、药球、沙袋、</t>
    </r>
    <r>
      <rPr>
        <sz val="10"/>
        <rFont val="Arial"/>
        <family val="0"/>
        <charset val="1"/>
      </rPr>
      <t xml:space="preserve">BOSU</t>
    </r>
    <r>
      <rPr>
        <sz val="10"/>
        <rFont val="Noto Sans CJK SC"/>
        <family val="2"/>
      </rPr>
      <t xml:space="preserve">、瑞士球、跳箱、战绳、深蹲架、卧推架</t>
    </r>
  </si>
  <si>
    <t xml:space="preserve">Index</t>
  </si>
  <si>
    <t xml:space="preserve">Item</t>
  </si>
  <si>
    <t xml:space="preserve">Category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</si>
</sst>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2F4F6F"/>
        <bgColor rgb="FF333333"/>
      </patternFill>
    </fill>
    <fill>
      <patternFill patternType="solid">
        <fgColor rgb="FFEDEDED"/>
        <bgColor rgb="FFF2F2F2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AD1F5"/>
        <bgColor rgb="FFD9D9D9"/>
      </patternFill>
    </fill>
    <fill>
      <patternFill patternType="solid">
        <fgColor rgb="FFF8CBAD"/>
        <bgColor rgb="FFFCE4D6"/>
      </patternFill>
    </fill>
    <fill>
      <patternFill patternType="solid">
        <fgColor rgb="FFD9D9D9"/>
        <bgColor rgb="FFD0D0D0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F4F6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F5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E1F2"/>
      <rgbColor rgb="FFEDEDED"/>
      <rgbColor rgb="FFEAD1F5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6" t="s">
        <v>12</v>
      </c>
      <c r="B1" s="6" t="s">
        <v>13</v>
      </c>
      <c r="C1" s="7" t="s">
        <v>14</v>
      </c>
      <c r="D1" s="6" t="s">
        <v>15</v>
      </c>
      <c r="E1" s="6" t="s">
        <v>16</v>
      </c>
      <c r="F1" s="6" t="s">
        <v>17</v>
      </c>
    </row>
    <row r="2" customFormat="false" ht="15" hidden="false" customHeight="false" outlineLevel="0" collapsed="false">
      <c r="A2" s="8" t="s">
        <v>18</v>
      </c>
      <c r="B2" s="9" t="s">
        <v>19</v>
      </c>
      <c r="C2" s="8" t="s">
        <v>20</v>
      </c>
      <c r="D2" s="8" t="s">
        <v>21</v>
      </c>
      <c r="E2" s="8" t="s">
        <v>21</v>
      </c>
      <c r="F2" s="10" t="n">
        <f aca="false">COUNTIF('动作库 Exercises'!$C:$C,A2)</f>
        <v>2</v>
      </c>
    </row>
    <row r="3" customFormat="false" ht="15" hidden="false" customHeight="false" outlineLevel="0" collapsed="false">
      <c r="A3" s="11" t="s">
        <v>22</v>
      </c>
      <c r="B3" s="12" t="s">
        <v>23</v>
      </c>
      <c r="C3" s="11" t="s">
        <v>24</v>
      </c>
      <c r="D3" s="12" t="s">
        <v>25</v>
      </c>
      <c r="E3" s="12" t="s">
        <v>26</v>
      </c>
      <c r="F3" s="10" t="n">
        <f aca="false">COUNTIF('动作库 Exercises'!$C:$C,A3)</f>
        <v>13</v>
      </c>
    </row>
    <row r="4" customFormat="false" ht="15" hidden="false" customHeight="false" outlineLevel="0" collapsed="false">
      <c r="A4" s="11" t="s">
        <v>27</v>
      </c>
      <c r="B4" s="12" t="s">
        <v>28</v>
      </c>
      <c r="C4" s="11" t="s">
        <v>29</v>
      </c>
      <c r="D4" s="12" t="s">
        <v>25</v>
      </c>
      <c r="E4" s="12" t="s">
        <v>26</v>
      </c>
      <c r="F4" s="10" t="n">
        <f aca="false">COUNTIF('动作库 Exercises'!$C:$C,A4)</f>
        <v>9</v>
      </c>
    </row>
    <row r="5" customFormat="false" ht="15" hidden="false" customHeight="false" outlineLevel="0" collapsed="false">
      <c r="A5" s="11" t="s">
        <v>30</v>
      </c>
      <c r="B5" s="12" t="s">
        <v>31</v>
      </c>
      <c r="C5" s="11" t="s">
        <v>32</v>
      </c>
      <c r="D5" s="12" t="s">
        <v>25</v>
      </c>
      <c r="E5" s="12" t="s">
        <v>26</v>
      </c>
      <c r="F5" s="10" t="n">
        <f aca="false">COUNTIF('动作库 Exercises'!$C:$C,A5)</f>
        <v>10</v>
      </c>
    </row>
    <row r="6" customFormat="false" ht="15" hidden="false" customHeight="false" outlineLevel="0" collapsed="false">
      <c r="A6" s="13" t="s">
        <v>33</v>
      </c>
      <c r="B6" s="14" t="s">
        <v>34</v>
      </c>
      <c r="C6" s="13" t="s">
        <v>35</v>
      </c>
      <c r="D6" s="14" t="s">
        <v>25</v>
      </c>
      <c r="E6" s="14" t="s">
        <v>36</v>
      </c>
      <c r="F6" s="10" t="n">
        <f aca="false">COUNTIF('动作库 Exercises'!$C:$C,A6)</f>
        <v>12</v>
      </c>
    </row>
    <row r="7" customFormat="false" ht="15" hidden="false" customHeight="false" outlineLevel="0" collapsed="false">
      <c r="A7" s="15" t="s">
        <v>37</v>
      </c>
      <c r="B7" s="16" t="s">
        <v>38</v>
      </c>
      <c r="C7" s="15" t="s">
        <v>39</v>
      </c>
      <c r="D7" s="16" t="s">
        <v>25</v>
      </c>
      <c r="E7" s="16" t="s">
        <v>40</v>
      </c>
      <c r="F7" s="10" t="n">
        <f aca="false">COUNTIF('动作库 Exercises'!$C:$C,A7)</f>
        <v>3</v>
      </c>
    </row>
    <row r="8" customFormat="false" ht="15" hidden="false" customHeight="false" outlineLevel="0" collapsed="false">
      <c r="A8" s="15" t="s">
        <v>41</v>
      </c>
      <c r="B8" s="16" t="s">
        <v>42</v>
      </c>
      <c r="C8" s="15" t="s">
        <v>43</v>
      </c>
      <c r="D8" s="16" t="s">
        <v>25</v>
      </c>
      <c r="E8" s="16" t="s">
        <v>40</v>
      </c>
      <c r="F8" s="10" t="n">
        <f aca="false">COUNTIF('动作库 Exercises'!$C:$C,A8)</f>
        <v>10</v>
      </c>
    </row>
    <row r="9" customFormat="false" ht="15" hidden="false" customHeight="false" outlineLevel="0" collapsed="false">
      <c r="A9" s="17" t="s">
        <v>44</v>
      </c>
      <c r="B9" s="18" t="s">
        <v>45</v>
      </c>
      <c r="C9" s="17" t="s">
        <v>46</v>
      </c>
      <c r="D9" s="18" t="s">
        <v>47</v>
      </c>
      <c r="E9" s="18" t="s">
        <v>48</v>
      </c>
      <c r="F9" s="10" t="n">
        <f aca="false">COUNTIF('动作库 Exercises'!$C:$C,A9)</f>
        <v>6</v>
      </c>
    </row>
    <row r="10" customFormat="false" ht="15" hidden="false" customHeight="false" outlineLevel="0" collapsed="false">
      <c r="A10" s="17" t="s">
        <v>49</v>
      </c>
      <c r="B10" s="18" t="s">
        <v>50</v>
      </c>
      <c r="C10" s="17" t="s">
        <v>51</v>
      </c>
      <c r="D10" s="18" t="s">
        <v>47</v>
      </c>
      <c r="E10" s="18" t="s">
        <v>48</v>
      </c>
      <c r="F10" s="10" t="n">
        <f aca="false">COUNTIF('动作库 Exercises'!$C:$C,A10)</f>
        <v>7</v>
      </c>
    </row>
    <row r="11" customFormat="false" ht="15" hidden="false" customHeight="false" outlineLevel="0" collapsed="false">
      <c r="A11" s="19" t="s">
        <v>52</v>
      </c>
      <c r="B11" s="20" t="s">
        <v>53</v>
      </c>
      <c r="C11" s="19" t="s">
        <v>54</v>
      </c>
      <c r="D11" s="20" t="s">
        <v>47</v>
      </c>
      <c r="E11" s="20" t="s">
        <v>55</v>
      </c>
      <c r="F11" s="10" t="n">
        <f aca="false">COUNTIF('动作库 Exercises'!$C:$C,A11)</f>
        <v>4</v>
      </c>
    </row>
    <row r="12" customFormat="false" ht="15" hidden="false" customHeight="false" outlineLevel="0" collapsed="false">
      <c r="A12" s="19" t="s">
        <v>56</v>
      </c>
      <c r="B12" s="20" t="s">
        <v>57</v>
      </c>
      <c r="C12" s="19" t="s">
        <v>58</v>
      </c>
      <c r="D12" s="20" t="s">
        <v>47</v>
      </c>
      <c r="E12" s="20" t="s">
        <v>59</v>
      </c>
      <c r="F12" s="10" t="n">
        <f aca="false">COUNTIF('动作库 Exercises'!$C:$C,A12)</f>
        <v>8</v>
      </c>
    </row>
    <row r="13" customFormat="false" ht="15" hidden="false" customHeight="false" outlineLevel="0" collapsed="false">
      <c r="A13" s="21" t="s">
        <v>60</v>
      </c>
      <c r="B13" s="22" t="s">
        <v>61</v>
      </c>
      <c r="C13" s="21" t="s">
        <v>62</v>
      </c>
      <c r="D13" s="22" t="s">
        <v>47</v>
      </c>
      <c r="E13" s="22" t="s">
        <v>61</v>
      </c>
      <c r="F13" s="10" t="n">
        <f aca="false">COUNTIF('动作库 Exercises'!$C:$C,A13)</f>
        <v>18</v>
      </c>
    </row>
    <row r="14" customFormat="false" ht="15" hidden="false" customHeight="false" outlineLevel="0" collapsed="false">
      <c r="A14" s="23" t="s">
        <v>63</v>
      </c>
      <c r="B14" s="24" t="s">
        <v>64</v>
      </c>
      <c r="C14" s="23" t="s">
        <v>65</v>
      </c>
      <c r="D14" s="23" t="s">
        <v>21</v>
      </c>
      <c r="E14" s="24" t="s">
        <v>66</v>
      </c>
      <c r="F14" s="10" t="n">
        <f aca="false">COUNTIF('动作库 Exercises'!$C:$C,A14)</f>
        <v>13</v>
      </c>
    </row>
    <row r="15" customFormat="false" ht="15" hidden="false" customHeight="false" outlineLevel="0" collapsed="false">
      <c r="A15" s="25" t="s">
        <v>67</v>
      </c>
      <c r="B15" s="26" t="s">
        <v>68</v>
      </c>
      <c r="C15" s="25" t="s">
        <v>69</v>
      </c>
      <c r="D15" s="25" t="s">
        <v>21</v>
      </c>
      <c r="E15" s="26" t="s">
        <v>66</v>
      </c>
      <c r="F15" s="10" t="n">
        <f aca="false">COUNTIF('动作库 Exercises'!$C:$C,A15)</f>
        <v>4</v>
      </c>
    </row>
    <row r="17" customFormat="false" ht="15" hidden="false" customHeight="false" outlineLevel="0" collapsed="false">
      <c r="A17" s="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38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34"/>
    <col collapsed="false" customWidth="true" hidden="false" outlineLevel="0" max="10" min="10" style="0" width="22"/>
    <col collapsed="false" customWidth="true" hidden="false" outlineLevel="0" max="11" min="11" style="0" width="48"/>
    <col collapsed="false" customWidth="true" hidden="false" outlineLevel="0" max="12" min="12" style="0" width="52"/>
    <col collapsed="false" customWidth="true" hidden="false" outlineLevel="0" max="13" min="13" style="0" width="40"/>
  </cols>
  <sheetData>
    <row r="1" customFormat="false" ht="30" hidden="false" customHeight="true" outlineLevel="0" collapsed="false">
      <c r="A1" s="7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7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  <c r="M1" s="6" t="s">
        <v>83</v>
      </c>
    </row>
    <row r="2" customFormat="false" ht="29.85" hidden="false" customHeight="false" outlineLevel="0" collapsed="false">
      <c r="A2" s="27" t="s">
        <v>84</v>
      </c>
      <c r="B2" s="28" t="s">
        <v>85</v>
      </c>
      <c r="C2" s="29" t="s">
        <v>18</v>
      </c>
      <c r="D2" s="30" t="s">
        <v>19</v>
      </c>
      <c r="E2" s="31" t="s">
        <v>21</v>
      </c>
      <c r="F2" s="31" t="s">
        <v>86</v>
      </c>
      <c r="G2" s="30" t="s">
        <v>87</v>
      </c>
      <c r="H2" s="32" t="s">
        <v>88</v>
      </c>
      <c r="I2" s="30" t="s">
        <v>89</v>
      </c>
      <c r="J2" s="30" t="s">
        <v>90</v>
      </c>
      <c r="K2" s="30" t="s">
        <v>91</v>
      </c>
      <c r="L2" s="31" t="s">
        <v>92</v>
      </c>
      <c r="M2" s="31"/>
    </row>
    <row r="3" customFormat="false" ht="41" hidden="false" customHeight="false" outlineLevel="0" collapsed="false">
      <c r="A3" s="27" t="s">
        <v>93</v>
      </c>
      <c r="B3" s="28" t="s">
        <v>94</v>
      </c>
      <c r="C3" s="29" t="s">
        <v>18</v>
      </c>
      <c r="D3" s="30" t="s">
        <v>19</v>
      </c>
      <c r="E3" s="31" t="s">
        <v>21</v>
      </c>
      <c r="F3" s="31" t="s">
        <v>95</v>
      </c>
      <c r="G3" s="30" t="s">
        <v>94</v>
      </c>
      <c r="H3" s="32" t="s">
        <v>88</v>
      </c>
      <c r="I3" s="30" t="s">
        <v>96</v>
      </c>
      <c r="J3" s="30" t="s">
        <v>97</v>
      </c>
      <c r="K3" s="30" t="s">
        <v>98</v>
      </c>
      <c r="L3" s="31" t="s">
        <v>99</v>
      </c>
      <c r="M3" s="31"/>
    </row>
    <row r="4" customFormat="false" ht="44" hidden="false" customHeight="false" outlineLevel="0" collapsed="false">
      <c r="A4" s="33" t="s">
        <v>100</v>
      </c>
      <c r="B4" s="34" t="s">
        <v>101</v>
      </c>
      <c r="C4" s="35" t="s">
        <v>22</v>
      </c>
      <c r="D4" s="30" t="s">
        <v>23</v>
      </c>
      <c r="E4" s="30" t="s">
        <v>25</v>
      </c>
      <c r="F4" s="31" t="s">
        <v>102</v>
      </c>
      <c r="G4" s="30" t="s">
        <v>103</v>
      </c>
      <c r="H4" s="36" t="s">
        <v>104</v>
      </c>
      <c r="I4" s="30" t="s">
        <v>105</v>
      </c>
      <c r="J4" s="30" t="s">
        <v>106</v>
      </c>
      <c r="K4" s="30" t="s">
        <v>107</v>
      </c>
      <c r="L4" s="31" t="s">
        <v>108</v>
      </c>
      <c r="M4" s="31"/>
    </row>
    <row r="5" customFormat="false" ht="15" hidden="false" customHeight="false" outlineLevel="0" collapsed="false">
      <c r="A5" s="33" t="s">
        <v>109</v>
      </c>
      <c r="B5" s="34" t="s">
        <v>110</v>
      </c>
      <c r="C5" s="35" t="s">
        <v>22</v>
      </c>
      <c r="D5" s="30" t="s">
        <v>23</v>
      </c>
      <c r="E5" s="30" t="s">
        <v>25</v>
      </c>
      <c r="F5" s="31" t="s">
        <v>111</v>
      </c>
      <c r="G5" s="30" t="s">
        <v>112</v>
      </c>
      <c r="H5" s="36" t="s">
        <v>104</v>
      </c>
      <c r="I5" s="30" t="s">
        <v>113</v>
      </c>
      <c r="J5" s="30" t="s">
        <v>114</v>
      </c>
      <c r="K5" s="30" t="s">
        <v>115</v>
      </c>
      <c r="L5" s="31" t="s">
        <v>116</v>
      </c>
      <c r="M5" s="31"/>
    </row>
    <row r="6" customFormat="false" ht="52.2" hidden="false" customHeight="false" outlineLevel="0" collapsed="false">
      <c r="A6" s="33" t="s">
        <v>117</v>
      </c>
      <c r="B6" s="34" t="s">
        <v>118</v>
      </c>
      <c r="C6" s="35" t="s">
        <v>22</v>
      </c>
      <c r="D6" s="30" t="s">
        <v>23</v>
      </c>
      <c r="E6" s="30" t="s">
        <v>25</v>
      </c>
      <c r="F6" s="31" t="s">
        <v>119</v>
      </c>
      <c r="G6" s="30" t="s">
        <v>120</v>
      </c>
      <c r="H6" s="36" t="s">
        <v>104</v>
      </c>
      <c r="I6" s="30" t="s">
        <v>121</v>
      </c>
      <c r="J6" s="30" t="s">
        <v>122</v>
      </c>
      <c r="K6" s="30" t="s">
        <v>123</v>
      </c>
      <c r="L6" s="31" t="s">
        <v>124</v>
      </c>
      <c r="M6" s="31"/>
    </row>
    <row r="7" customFormat="false" ht="26.85" hidden="false" customHeight="false" outlineLevel="0" collapsed="false">
      <c r="A7" s="33" t="s">
        <v>125</v>
      </c>
      <c r="B7" s="34" t="s">
        <v>126</v>
      </c>
      <c r="C7" s="35" t="s">
        <v>22</v>
      </c>
      <c r="D7" s="30" t="s">
        <v>23</v>
      </c>
      <c r="E7" s="30" t="s">
        <v>25</v>
      </c>
      <c r="F7" s="31" t="s">
        <v>127</v>
      </c>
      <c r="G7" s="30" t="s">
        <v>128</v>
      </c>
      <c r="H7" s="36" t="s">
        <v>104</v>
      </c>
      <c r="I7" s="30" t="s">
        <v>129</v>
      </c>
      <c r="J7" s="30" t="s">
        <v>130</v>
      </c>
      <c r="K7" s="30" t="s">
        <v>131</v>
      </c>
      <c r="L7" s="31" t="s">
        <v>132</v>
      </c>
      <c r="M7" s="31"/>
    </row>
    <row r="8" customFormat="false" ht="15" hidden="false" customHeight="false" outlineLevel="0" collapsed="false">
      <c r="A8" s="33" t="s">
        <v>133</v>
      </c>
      <c r="B8" s="34" t="s">
        <v>134</v>
      </c>
      <c r="C8" s="35" t="s">
        <v>22</v>
      </c>
      <c r="D8" s="30" t="s">
        <v>23</v>
      </c>
      <c r="E8" s="30" t="s">
        <v>25</v>
      </c>
      <c r="F8" s="31" t="s">
        <v>135</v>
      </c>
      <c r="G8" s="30" t="s">
        <v>136</v>
      </c>
      <c r="H8" s="32" t="s">
        <v>88</v>
      </c>
      <c r="I8" s="30" t="s">
        <v>137</v>
      </c>
      <c r="J8" s="30" t="s">
        <v>122</v>
      </c>
      <c r="K8" s="30" t="s">
        <v>138</v>
      </c>
      <c r="L8" s="31" t="s">
        <v>139</v>
      </c>
      <c r="M8" s="31"/>
    </row>
    <row r="9" customFormat="false" ht="29.85" hidden="false" customHeight="false" outlineLevel="0" collapsed="false">
      <c r="A9" s="33" t="s">
        <v>140</v>
      </c>
      <c r="B9" s="34" t="s">
        <v>141</v>
      </c>
      <c r="C9" s="35" t="s">
        <v>22</v>
      </c>
      <c r="D9" s="30" t="s">
        <v>23</v>
      </c>
      <c r="E9" s="30" t="s">
        <v>25</v>
      </c>
      <c r="F9" s="31" t="s">
        <v>142</v>
      </c>
      <c r="G9" s="30" t="s">
        <v>136</v>
      </c>
      <c r="H9" s="32" t="s">
        <v>88</v>
      </c>
      <c r="I9" s="30" t="s">
        <v>143</v>
      </c>
      <c r="J9" s="30" t="s">
        <v>122</v>
      </c>
      <c r="K9" s="30" t="s">
        <v>144</v>
      </c>
      <c r="L9" s="31" t="s">
        <v>145</v>
      </c>
      <c r="M9" s="31"/>
    </row>
    <row r="10" customFormat="false" ht="44" hidden="false" customHeight="false" outlineLevel="0" collapsed="false">
      <c r="A10" s="33" t="s">
        <v>146</v>
      </c>
      <c r="B10" s="34" t="s">
        <v>147</v>
      </c>
      <c r="C10" s="35" t="s">
        <v>22</v>
      </c>
      <c r="D10" s="30" t="s">
        <v>23</v>
      </c>
      <c r="E10" s="30" t="s">
        <v>25</v>
      </c>
      <c r="F10" s="31" t="s">
        <v>148</v>
      </c>
      <c r="G10" s="30" t="s">
        <v>136</v>
      </c>
      <c r="H10" s="32" t="s">
        <v>88</v>
      </c>
      <c r="I10" s="30" t="s">
        <v>149</v>
      </c>
      <c r="J10" s="30" t="s">
        <v>122</v>
      </c>
      <c r="K10" s="30" t="s">
        <v>150</v>
      </c>
      <c r="L10" s="31" t="s">
        <v>151</v>
      </c>
      <c r="M10" s="31"/>
    </row>
    <row r="11" customFormat="false" ht="52.2" hidden="false" customHeight="false" outlineLevel="0" collapsed="false">
      <c r="A11" s="33" t="s">
        <v>152</v>
      </c>
      <c r="B11" s="34" t="s">
        <v>153</v>
      </c>
      <c r="C11" s="35" t="s">
        <v>22</v>
      </c>
      <c r="D11" s="30" t="s">
        <v>23</v>
      </c>
      <c r="E11" s="30" t="s">
        <v>25</v>
      </c>
      <c r="F11" s="31" t="s">
        <v>154</v>
      </c>
      <c r="G11" s="30" t="s">
        <v>136</v>
      </c>
      <c r="H11" s="32" t="s">
        <v>88</v>
      </c>
      <c r="I11" s="30" t="s">
        <v>155</v>
      </c>
      <c r="J11" s="30" t="s">
        <v>156</v>
      </c>
      <c r="K11" s="30" t="s">
        <v>157</v>
      </c>
      <c r="L11" s="31" t="s">
        <v>158</v>
      </c>
      <c r="M11" s="31"/>
    </row>
    <row r="12" customFormat="false" ht="15" hidden="false" customHeight="false" outlineLevel="0" collapsed="false">
      <c r="A12" s="33" t="s">
        <v>159</v>
      </c>
      <c r="B12" s="34" t="s">
        <v>160</v>
      </c>
      <c r="C12" s="35" t="s">
        <v>22</v>
      </c>
      <c r="D12" s="30" t="s">
        <v>23</v>
      </c>
      <c r="E12" s="30" t="s">
        <v>25</v>
      </c>
      <c r="F12" s="31" t="s">
        <v>161</v>
      </c>
      <c r="G12" s="30" t="s">
        <v>162</v>
      </c>
      <c r="H12" s="36" t="s">
        <v>104</v>
      </c>
      <c r="I12" s="30" t="s">
        <v>163</v>
      </c>
      <c r="J12" s="30" t="s">
        <v>122</v>
      </c>
      <c r="K12" s="30" t="s">
        <v>164</v>
      </c>
      <c r="L12" s="31" t="s">
        <v>165</v>
      </c>
      <c r="M12" s="31"/>
    </row>
    <row r="13" customFormat="false" ht="15" hidden="false" customHeight="false" outlineLevel="0" collapsed="false">
      <c r="A13" s="33" t="s">
        <v>166</v>
      </c>
      <c r="B13" s="34" t="s">
        <v>167</v>
      </c>
      <c r="C13" s="35" t="s">
        <v>22</v>
      </c>
      <c r="D13" s="30" t="s">
        <v>23</v>
      </c>
      <c r="E13" s="30" t="s">
        <v>25</v>
      </c>
      <c r="F13" s="31" t="s">
        <v>168</v>
      </c>
      <c r="G13" s="30" t="s">
        <v>169</v>
      </c>
      <c r="H13" s="36" t="s">
        <v>104</v>
      </c>
      <c r="I13" s="31"/>
      <c r="J13" s="30" t="s">
        <v>122</v>
      </c>
      <c r="K13" s="30" t="s">
        <v>170</v>
      </c>
      <c r="L13" s="31" t="s">
        <v>171</v>
      </c>
      <c r="M13" s="31"/>
    </row>
    <row r="14" customFormat="false" ht="15" hidden="false" customHeight="false" outlineLevel="0" collapsed="false">
      <c r="A14" s="33" t="s">
        <v>172</v>
      </c>
      <c r="B14" s="34" t="s">
        <v>173</v>
      </c>
      <c r="C14" s="35" t="s">
        <v>22</v>
      </c>
      <c r="D14" s="30" t="s">
        <v>23</v>
      </c>
      <c r="E14" s="30" t="s">
        <v>25</v>
      </c>
      <c r="F14" s="31" t="s">
        <v>174</v>
      </c>
      <c r="G14" s="30" t="s">
        <v>112</v>
      </c>
      <c r="H14" s="36" t="s">
        <v>104</v>
      </c>
      <c r="I14" s="30" t="s">
        <v>175</v>
      </c>
      <c r="J14" s="30" t="s">
        <v>176</v>
      </c>
      <c r="K14" s="30" t="s">
        <v>177</v>
      </c>
      <c r="L14" s="31" t="s">
        <v>178</v>
      </c>
      <c r="M14" s="31"/>
    </row>
    <row r="15" customFormat="false" ht="15" hidden="false" customHeight="false" outlineLevel="0" collapsed="false">
      <c r="A15" s="33" t="s">
        <v>179</v>
      </c>
      <c r="B15" s="34" t="s">
        <v>180</v>
      </c>
      <c r="C15" s="35" t="s">
        <v>22</v>
      </c>
      <c r="D15" s="30" t="s">
        <v>23</v>
      </c>
      <c r="E15" s="30" t="s">
        <v>25</v>
      </c>
      <c r="F15" s="31" t="s">
        <v>181</v>
      </c>
      <c r="G15" s="30" t="s">
        <v>182</v>
      </c>
      <c r="H15" s="36" t="s">
        <v>104</v>
      </c>
      <c r="I15" s="30" t="s">
        <v>183</v>
      </c>
      <c r="J15" s="30" t="s">
        <v>184</v>
      </c>
      <c r="K15" s="30" t="s">
        <v>185</v>
      </c>
      <c r="L15" s="31" t="s">
        <v>186</v>
      </c>
      <c r="M15" s="31"/>
    </row>
    <row r="16" customFormat="false" ht="41" hidden="false" customHeight="false" outlineLevel="0" collapsed="false">
      <c r="A16" s="33" t="s">
        <v>187</v>
      </c>
      <c r="B16" s="34" t="s">
        <v>188</v>
      </c>
      <c r="C16" s="35" t="s">
        <v>27</v>
      </c>
      <c r="D16" s="30" t="s">
        <v>28</v>
      </c>
      <c r="E16" s="30" t="s">
        <v>25</v>
      </c>
      <c r="F16" s="31" t="s">
        <v>189</v>
      </c>
      <c r="G16" s="30" t="s">
        <v>136</v>
      </c>
      <c r="H16" s="32" t="s">
        <v>88</v>
      </c>
      <c r="I16" s="30" t="s">
        <v>190</v>
      </c>
      <c r="J16" s="30" t="s">
        <v>191</v>
      </c>
      <c r="K16" s="30" t="s">
        <v>192</v>
      </c>
      <c r="L16" s="31" t="s">
        <v>193</v>
      </c>
      <c r="M16" s="31"/>
    </row>
    <row r="17" customFormat="false" ht="15" hidden="false" customHeight="false" outlineLevel="0" collapsed="false">
      <c r="A17" s="33" t="s">
        <v>194</v>
      </c>
      <c r="B17" s="34" t="s">
        <v>195</v>
      </c>
      <c r="C17" s="35" t="s">
        <v>27</v>
      </c>
      <c r="D17" s="30" t="s">
        <v>28</v>
      </c>
      <c r="E17" s="30" t="s">
        <v>25</v>
      </c>
      <c r="F17" s="31" t="s">
        <v>196</v>
      </c>
      <c r="G17" s="30" t="s">
        <v>197</v>
      </c>
      <c r="H17" s="36" t="s">
        <v>104</v>
      </c>
      <c r="I17" s="30" t="s">
        <v>198</v>
      </c>
      <c r="J17" s="30" t="s">
        <v>199</v>
      </c>
      <c r="K17" s="30" t="s">
        <v>200</v>
      </c>
      <c r="L17" s="31" t="s">
        <v>201</v>
      </c>
      <c r="M17" s="31"/>
    </row>
    <row r="18" customFormat="false" ht="15" hidden="false" customHeight="false" outlineLevel="0" collapsed="false">
      <c r="A18" s="33" t="s">
        <v>202</v>
      </c>
      <c r="B18" s="34" t="s">
        <v>203</v>
      </c>
      <c r="C18" s="35" t="s">
        <v>27</v>
      </c>
      <c r="D18" s="30" t="s">
        <v>28</v>
      </c>
      <c r="E18" s="30" t="s">
        <v>25</v>
      </c>
      <c r="F18" s="31" t="s">
        <v>204</v>
      </c>
      <c r="G18" s="30" t="s">
        <v>197</v>
      </c>
      <c r="H18" s="36" t="s">
        <v>104</v>
      </c>
      <c r="I18" s="30" t="s">
        <v>197</v>
      </c>
      <c r="J18" s="30" t="s">
        <v>205</v>
      </c>
      <c r="K18" s="30" t="s">
        <v>206</v>
      </c>
      <c r="L18" s="31" t="s">
        <v>207</v>
      </c>
      <c r="M18" s="31"/>
    </row>
    <row r="19" customFormat="false" ht="15" hidden="false" customHeight="false" outlineLevel="0" collapsed="false">
      <c r="A19" s="33" t="s">
        <v>208</v>
      </c>
      <c r="B19" s="34" t="s">
        <v>209</v>
      </c>
      <c r="C19" s="35" t="s">
        <v>27</v>
      </c>
      <c r="D19" s="30" t="s">
        <v>28</v>
      </c>
      <c r="E19" s="30" t="s">
        <v>25</v>
      </c>
      <c r="F19" s="31" t="s">
        <v>210</v>
      </c>
      <c r="G19" s="30" t="s">
        <v>211</v>
      </c>
      <c r="H19" s="36" t="s">
        <v>104</v>
      </c>
      <c r="I19" s="30" t="s">
        <v>212</v>
      </c>
      <c r="J19" s="30" t="s">
        <v>213</v>
      </c>
      <c r="K19" s="30" t="s">
        <v>214</v>
      </c>
      <c r="L19" s="31" t="s">
        <v>215</v>
      </c>
      <c r="M19" s="31"/>
    </row>
    <row r="20" customFormat="false" ht="46.25" hidden="false" customHeight="false" outlineLevel="0" collapsed="false">
      <c r="A20" s="33" t="s">
        <v>216</v>
      </c>
      <c r="B20" s="34" t="s">
        <v>217</v>
      </c>
      <c r="C20" s="35" t="s">
        <v>27</v>
      </c>
      <c r="D20" s="30" t="s">
        <v>28</v>
      </c>
      <c r="E20" s="30" t="s">
        <v>25</v>
      </c>
      <c r="F20" s="31" t="s">
        <v>218</v>
      </c>
      <c r="G20" s="30" t="s">
        <v>219</v>
      </c>
      <c r="H20" s="36" t="s">
        <v>104</v>
      </c>
      <c r="I20" s="30" t="s">
        <v>220</v>
      </c>
      <c r="J20" s="30" t="s">
        <v>221</v>
      </c>
      <c r="K20" s="30" t="s">
        <v>222</v>
      </c>
      <c r="L20" s="31" t="s">
        <v>223</v>
      </c>
      <c r="M20" s="31"/>
    </row>
    <row r="21" customFormat="false" ht="15" hidden="false" customHeight="false" outlineLevel="0" collapsed="false">
      <c r="A21" s="33" t="s">
        <v>224</v>
      </c>
      <c r="B21" s="34" t="s">
        <v>225</v>
      </c>
      <c r="C21" s="35" t="s">
        <v>27</v>
      </c>
      <c r="D21" s="30" t="s">
        <v>28</v>
      </c>
      <c r="E21" s="30" t="s">
        <v>25</v>
      </c>
      <c r="F21" s="31" t="s">
        <v>226</v>
      </c>
      <c r="G21" s="30" t="s">
        <v>227</v>
      </c>
      <c r="H21" s="36" t="s">
        <v>104</v>
      </c>
      <c r="I21" s="30" t="s">
        <v>228</v>
      </c>
      <c r="J21" s="30" t="s">
        <v>229</v>
      </c>
      <c r="K21" s="30" t="s">
        <v>230</v>
      </c>
      <c r="L21" s="31" t="s">
        <v>231</v>
      </c>
      <c r="M21" s="31"/>
    </row>
    <row r="22" customFormat="false" ht="15" hidden="false" customHeight="false" outlineLevel="0" collapsed="false">
      <c r="A22" s="33" t="s">
        <v>232</v>
      </c>
      <c r="B22" s="34" t="s">
        <v>233</v>
      </c>
      <c r="C22" s="35" t="s">
        <v>27</v>
      </c>
      <c r="D22" s="30" t="s">
        <v>28</v>
      </c>
      <c r="E22" s="30" t="s">
        <v>25</v>
      </c>
      <c r="F22" s="31" t="s">
        <v>234</v>
      </c>
      <c r="G22" s="30" t="s">
        <v>235</v>
      </c>
      <c r="H22" s="32" t="s">
        <v>88</v>
      </c>
      <c r="I22" s="30" t="s">
        <v>236</v>
      </c>
      <c r="J22" s="30" t="s">
        <v>237</v>
      </c>
      <c r="K22" s="30" t="s">
        <v>238</v>
      </c>
      <c r="L22" s="31" t="s">
        <v>239</v>
      </c>
      <c r="M22" s="31"/>
    </row>
    <row r="23" customFormat="false" ht="15" hidden="false" customHeight="false" outlineLevel="0" collapsed="false">
      <c r="A23" s="33" t="s">
        <v>240</v>
      </c>
      <c r="B23" s="34" t="s">
        <v>241</v>
      </c>
      <c r="C23" s="35" t="s">
        <v>27</v>
      </c>
      <c r="D23" s="30" t="s">
        <v>28</v>
      </c>
      <c r="E23" s="30" t="s">
        <v>25</v>
      </c>
      <c r="F23" s="31" t="s">
        <v>242</v>
      </c>
      <c r="G23" s="30" t="s">
        <v>243</v>
      </c>
      <c r="H23" s="32" t="s">
        <v>88</v>
      </c>
      <c r="I23" s="30" t="s">
        <v>244</v>
      </c>
      <c r="J23" s="30" t="s">
        <v>245</v>
      </c>
      <c r="K23" s="30" t="s">
        <v>246</v>
      </c>
      <c r="L23" s="31" t="s">
        <v>247</v>
      </c>
      <c r="M23" s="31"/>
    </row>
    <row r="24" customFormat="false" ht="15" hidden="false" customHeight="false" outlineLevel="0" collapsed="false">
      <c r="A24" s="33" t="s">
        <v>248</v>
      </c>
      <c r="B24" s="34" t="s">
        <v>249</v>
      </c>
      <c r="C24" s="35" t="s">
        <v>27</v>
      </c>
      <c r="D24" s="30" t="s">
        <v>28</v>
      </c>
      <c r="E24" s="30" t="s">
        <v>25</v>
      </c>
      <c r="F24" s="31" t="s">
        <v>250</v>
      </c>
      <c r="G24" s="30" t="s">
        <v>169</v>
      </c>
      <c r="H24" s="36" t="s">
        <v>104</v>
      </c>
      <c r="I24" s="31"/>
      <c r="J24" s="30" t="s">
        <v>251</v>
      </c>
      <c r="K24" s="30" t="s">
        <v>252</v>
      </c>
      <c r="L24" s="31" t="s">
        <v>253</v>
      </c>
      <c r="M24" s="31"/>
    </row>
    <row r="25" customFormat="false" ht="15" hidden="false" customHeight="false" outlineLevel="0" collapsed="false">
      <c r="A25" s="33" t="s">
        <v>254</v>
      </c>
      <c r="B25" s="34" t="s">
        <v>255</v>
      </c>
      <c r="C25" s="35" t="s">
        <v>30</v>
      </c>
      <c r="D25" s="30" t="s">
        <v>31</v>
      </c>
      <c r="E25" s="30" t="s">
        <v>25</v>
      </c>
      <c r="F25" s="31" t="s">
        <v>256</v>
      </c>
      <c r="G25" s="30" t="s">
        <v>257</v>
      </c>
      <c r="H25" s="36" t="s">
        <v>104</v>
      </c>
      <c r="I25" s="30" t="s">
        <v>258</v>
      </c>
      <c r="J25" s="30" t="s">
        <v>122</v>
      </c>
      <c r="K25" s="30" t="s">
        <v>259</v>
      </c>
      <c r="L25" s="31" t="s">
        <v>260</v>
      </c>
      <c r="M25" s="31"/>
    </row>
    <row r="26" customFormat="false" ht="15" hidden="false" customHeight="false" outlineLevel="0" collapsed="false">
      <c r="A26" s="33" t="s">
        <v>261</v>
      </c>
      <c r="B26" s="34" t="s">
        <v>262</v>
      </c>
      <c r="C26" s="35" t="s">
        <v>30</v>
      </c>
      <c r="D26" s="30" t="s">
        <v>31</v>
      </c>
      <c r="E26" s="30" t="s">
        <v>25</v>
      </c>
      <c r="F26" s="31" t="s">
        <v>263</v>
      </c>
      <c r="G26" s="30" t="s">
        <v>264</v>
      </c>
      <c r="H26" s="36" t="s">
        <v>104</v>
      </c>
      <c r="I26" s="30" t="s">
        <v>265</v>
      </c>
      <c r="J26" s="30" t="s">
        <v>266</v>
      </c>
      <c r="K26" s="30" t="s">
        <v>267</v>
      </c>
      <c r="L26" s="31" t="s">
        <v>268</v>
      </c>
      <c r="M26" s="31"/>
    </row>
    <row r="27" customFormat="false" ht="15" hidden="false" customHeight="false" outlineLevel="0" collapsed="false">
      <c r="A27" s="33" t="s">
        <v>269</v>
      </c>
      <c r="B27" s="34" t="s">
        <v>270</v>
      </c>
      <c r="C27" s="35" t="s">
        <v>30</v>
      </c>
      <c r="D27" s="30" t="s">
        <v>31</v>
      </c>
      <c r="E27" s="30" t="s">
        <v>25</v>
      </c>
      <c r="F27" s="31" t="s">
        <v>271</v>
      </c>
      <c r="G27" s="30" t="s">
        <v>219</v>
      </c>
      <c r="H27" s="36" t="s">
        <v>104</v>
      </c>
      <c r="I27" s="30" t="s">
        <v>272</v>
      </c>
      <c r="J27" s="30" t="s">
        <v>273</v>
      </c>
      <c r="K27" s="30" t="s">
        <v>274</v>
      </c>
      <c r="L27" s="31" t="s">
        <v>275</v>
      </c>
      <c r="M27" s="31"/>
    </row>
    <row r="28" customFormat="false" ht="72.35" hidden="false" customHeight="false" outlineLevel="0" collapsed="false">
      <c r="A28" s="33" t="s">
        <v>276</v>
      </c>
      <c r="B28" s="34" t="s">
        <v>277</v>
      </c>
      <c r="C28" s="35" t="s">
        <v>30</v>
      </c>
      <c r="D28" s="30" t="s">
        <v>31</v>
      </c>
      <c r="E28" s="30" t="s">
        <v>25</v>
      </c>
      <c r="F28" s="31" t="s">
        <v>278</v>
      </c>
      <c r="G28" s="30" t="s">
        <v>279</v>
      </c>
      <c r="H28" s="36" t="s">
        <v>104</v>
      </c>
      <c r="I28" s="30" t="s">
        <v>280</v>
      </c>
      <c r="J28" s="30" t="s">
        <v>281</v>
      </c>
      <c r="K28" s="30" t="s">
        <v>282</v>
      </c>
      <c r="L28" s="31" t="s">
        <v>283</v>
      </c>
      <c r="M28" s="31"/>
    </row>
    <row r="29" customFormat="false" ht="29.85" hidden="false" customHeight="false" outlineLevel="0" collapsed="false">
      <c r="A29" s="33" t="s">
        <v>284</v>
      </c>
      <c r="B29" s="34" t="s">
        <v>285</v>
      </c>
      <c r="C29" s="35" t="s">
        <v>30</v>
      </c>
      <c r="D29" s="30" t="s">
        <v>31</v>
      </c>
      <c r="E29" s="30" t="s">
        <v>25</v>
      </c>
      <c r="F29" s="31" t="s">
        <v>286</v>
      </c>
      <c r="G29" s="30" t="s">
        <v>227</v>
      </c>
      <c r="H29" s="36" t="s">
        <v>104</v>
      </c>
      <c r="I29" s="30" t="s">
        <v>228</v>
      </c>
      <c r="J29" s="30" t="s">
        <v>287</v>
      </c>
      <c r="K29" s="30" t="s">
        <v>288</v>
      </c>
      <c r="L29" s="31" t="s">
        <v>289</v>
      </c>
      <c r="M29" s="31"/>
    </row>
    <row r="30" customFormat="false" ht="15" hidden="false" customHeight="false" outlineLevel="0" collapsed="false">
      <c r="A30" s="33" t="s">
        <v>290</v>
      </c>
      <c r="B30" s="34" t="s">
        <v>291</v>
      </c>
      <c r="C30" s="35" t="s">
        <v>30</v>
      </c>
      <c r="D30" s="30" t="s">
        <v>31</v>
      </c>
      <c r="E30" s="30" t="s">
        <v>25</v>
      </c>
      <c r="F30" s="31" t="s">
        <v>292</v>
      </c>
      <c r="G30" s="30" t="s">
        <v>264</v>
      </c>
      <c r="H30" s="36" t="s">
        <v>104</v>
      </c>
      <c r="I30" s="30" t="s">
        <v>293</v>
      </c>
      <c r="J30" s="30" t="s">
        <v>122</v>
      </c>
      <c r="K30" s="30" t="s">
        <v>294</v>
      </c>
      <c r="L30" s="31" t="s">
        <v>295</v>
      </c>
      <c r="M30" s="31"/>
    </row>
    <row r="31" customFormat="false" ht="15" hidden="false" customHeight="false" outlineLevel="0" collapsed="false">
      <c r="A31" s="33" t="s">
        <v>296</v>
      </c>
      <c r="B31" s="34" t="s">
        <v>297</v>
      </c>
      <c r="C31" s="35" t="s">
        <v>30</v>
      </c>
      <c r="D31" s="30" t="s">
        <v>31</v>
      </c>
      <c r="E31" s="30" t="s">
        <v>25</v>
      </c>
      <c r="F31" s="31" t="s">
        <v>298</v>
      </c>
      <c r="G31" s="30" t="s">
        <v>219</v>
      </c>
      <c r="H31" s="36" t="s">
        <v>104</v>
      </c>
      <c r="I31" s="30" t="s">
        <v>299</v>
      </c>
      <c r="J31" s="30" t="s">
        <v>122</v>
      </c>
      <c r="K31" s="30" t="s">
        <v>300</v>
      </c>
      <c r="L31" s="31" t="s">
        <v>301</v>
      </c>
      <c r="M31" s="31"/>
    </row>
    <row r="32" customFormat="false" ht="15" hidden="false" customHeight="false" outlineLevel="0" collapsed="false">
      <c r="A32" s="33" t="s">
        <v>302</v>
      </c>
      <c r="B32" s="34" t="s">
        <v>303</v>
      </c>
      <c r="C32" s="35" t="s">
        <v>30</v>
      </c>
      <c r="D32" s="30" t="s">
        <v>31</v>
      </c>
      <c r="E32" s="30" t="s">
        <v>25</v>
      </c>
      <c r="F32" s="31" t="s">
        <v>304</v>
      </c>
      <c r="G32" s="30" t="s">
        <v>305</v>
      </c>
      <c r="H32" s="36" t="s">
        <v>104</v>
      </c>
      <c r="I32" s="31"/>
      <c r="J32" s="30" t="s">
        <v>306</v>
      </c>
      <c r="K32" s="30" t="s">
        <v>307</v>
      </c>
      <c r="L32" s="31" t="s">
        <v>308</v>
      </c>
      <c r="M32" s="31"/>
    </row>
    <row r="33" customFormat="false" ht="15" hidden="false" customHeight="false" outlineLevel="0" collapsed="false">
      <c r="A33" s="33" t="s">
        <v>309</v>
      </c>
      <c r="B33" s="34" t="s">
        <v>310</v>
      </c>
      <c r="C33" s="35" t="s">
        <v>30</v>
      </c>
      <c r="D33" s="30" t="s">
        <v>31</v>
      </c>
      <c r="E33" s="30" t="s">
        <v>25</v>
      </c>
      <c r="F33" s="31" t="s">
        <v>311</v>
      </c>
      <c r="G33" s="30" t="s">
        <v>312</v>
      </c>
      <c r="H33" s="32" t="s">
        <v>88</v>
      </c>
      <c r="I33" s="31"/>
      <c r="J33" s="30" t="s">
        <v>313</v>
      </c>
      <c r="K33" s="30" t="s">
        <v>314</v>
      </c>
      <c r="L33" s="31" t="s">
        <v>315</v>
      </c>
      <c r="M33" s="31"/>
    </row>
    <row r="34" customFormat="false" ht="15" hidden="false" customHeight="false" outlineLevel="0" collapsed="false">
      <c r="A34" s="33" t="s">
        <v>316</v>
      </c>
      <c r="B34" s="34" t="s">
        <v>317</v>
      </c>
      <c r="C34" s="35" t="s">
        <v>30</v>
      </c>
      <c r="D34" s="30" t="s">
        <v>31</v>
      </c>
      <c r="E34" s="30" t="s">
        <v>25</v>
      </c>
      <c r="F34" s="31" t="s">
        <v>318</v>
      </c>
      <c r="G34" s="30" t="s">
        <v>169</v>
      </c>
      <c r="H34" s="36" t="s">
        <v>104</v>
      </c>
      <c r="I34" s="31"/>
      <c r="J34" s="30" t="s">
        <v>319</v>
      </c>
      <c r="K34" s="30" t="s">
        <v>320</v>
      </c>
      <c r="L34" s="31" t="s">
        <v>321</v>
      </c>
      <c r="M34" s="31"/>
    </row>
    <row r="35" customFormat="false" ht="74.6" hidden="false" customHeight="false" outlineLevel="0" collapsed="false">
      <c r="A35" s="37" t="s">
        <v>322</v>
      </c>
      <c r="B35" s="38" t="s">
        <v>323</v>
      </c>
      <c r="C35" s="39" t="s">
        <v>33</v>
      </c>
      <c r="D35" s="30" t="s">
        <v>34</v>
      </c>
      <c r="E35" s="30" t="s">
        <v>25</v>
      </c>
      <c r="F35" s="31" t="s">
        <v>324</v>
      </c>
      <c r="G35" s="30" t="s">
        <v>136</v>
      </c>
      <c r="H35" s="32" t="s">
        <v>88</v>
      </c>
      <c r="I35" s="30" t="s">
        <v>325</v>
      </c>
      <c r="J35" s="30" t="s">
        <v>326</v>
      </c>
      <c r="K35" s="30" t="s">
        <v>327</v>
      </c>
      <c r="L35" s="31" t="s">
        <v>328</v>
      </c>
      <c r="M35" s="31"/>
    </row>
    <row r="36" customFormat="false" ht="15" hidden="false" customHeight="false" outlineLevel="0" collapsed="false">
      <c r="A36" s="37" t="s">
        <v>329</v>
      </c>
      <c r="B36" s="38" t="s">
        <v>330</v>
      </c>
      <c r="C36" s="39" t="s">
        <v>33</v>
      </c>
      <c r="D36" s="30" t="s">
        <v>34</v>
      </c>
      <c r="E36" s="30" t="s">
        <v>25</v>
      </c>
      <c r="F36" s="31" t="s">
        <v>331</v>
      </c>
      <c r="G36" s="30" t="s">
        <v>136</v>
      </c>
      <c r="H36" s="32" t="s">
        <v>88</v>
      </c>
      <c r="I36" s="30" t="s">
        <v>332</v>
      </c>
      <c r="J36" s="30" t="s">
        <v>333</v>
      </c>
      <c r="K36" s="30" t="s">
        <v>334</v>
      </c>
      <c r="L36" s="31" t="s">
        <v>335</v>
      </c>
      <c r="M36" s="31"/>
    </row>
    <row r="37" customFormat="false" ht="29.85" hidden="false" customHeight="false" outlineLevel="0" collapsed="false">
      <c r="A37" s="37" t="s">
        <v>336</v>
      </c>
      <c r="B37" s="38" t="s">
        <v>337</v>
      </c>
      <c r="C37" s="39" t="s">
        <v>33</v>
      </c>
      <c r="D37" s="30" t="s">
        <v>34</v>
      </c>
      <c r="E37" s="30" t="s">
        <v>25</v>
      </c>
      <c r="F37" s="31" t="s">
        <v>338</v>
      </c>
      <c r="G37" s="30" t="s">
        <v>339</v>
      </c>
      <c r="H37" s="32" t="s">
        <v>88</v>
      </c>
      <c r="I37" s="30" t="s">
        <v>340</v>
      </c>
      <c r="J37" s="30" t="s">
        <v>341</v>
      </c>
      <c r="K37" s="30" t="s">
        <v>342</v>
      </c>
      <c r="L37" s="31" t="s">
        <v>343</v>
      </c>
      <c r="M37" s="31"/>
    </row>
    <row r="38" customFormat="false" ht="15" hidden="false" customHeight="false" outlineLevel="0" collapsed="false">
      <c r="A38" s="37" t="s">
        <v>344</v>
      </c>
      <c r="B38" s="38" t="s">
        <v>345</v>
      </c>
      <c r="C38" s="39" t="s">
        <v>33</v>
      </c>
      <c r="D38" s="30" t="s">
        <v>34</v>
      </c>
      <c r="E38" s="30" t="s">
        <v>25</v>
      </c>
      <c r="F38" s="31" t="s">
        <v>346</v>
      </c>
      <c r="G38" s="30" t="s">
        <v>347</v>
      </c>
      <c r="H38" s="36" t="s">
        <v>104</v>
      </c>
      <c r="I38" s="31"/>
      <c r="J38" s="30" t="s">
        <v>348</v>
      </c>
      <c r="K38" s="31"/>
      <c r="L38" s="31" t="s">
        <v>349</v>
      </c>
      <c r="M38" s="31"/>
    </row>
    <row r="39" customFormat="false" ht="15" hidden="false" customHeight="false" outlineLevel="0" collapsed="false">
      <c r="A39" s="37" t="s">
        <v>350</v>
      </c>
      <c r="B39" s="38" t="s">
        <v>351</v>
      </c>
      <c r="C39" s="39" t="s">
        <v>33</v>
      </c>
      <c r="D39" s="30" t="s">
        <v>34</v>
      </c>
      <c r="E39" s="30" t="s">
        <v>25</v>
      </c>
      <c r="F39" s="31" t="s">
        <v>352</v>
      </c>
      <c r="G39" s="30" t="s">
        <v>353</v>
      </c>
      <c r="H39" s="36" t="s">
        <v>104</v>
      </c>
      <c r="I39" s="31"/>
      <c r="J39" s="30" t="s">
        <v>354</v>
      </c>
      <c r="K39" s="30" t="s">
        <v>355</v>
      </c>
      <c r="L39" s="31" t="s">
        <v>356</v>
      </c>
      <c r="M39" s="31"/>
    </row>
    <row r="40" customFormat="false" ht="26.85" hidden="false" customHeight="false" outlineLevel="0" collapsed="false">
      <c r="A40" s="37" t="s">
        <v>357</v>
      </c>
      <c r="B40" s="38" t="s">
        <v>358</v>
      </c>
      <c r="C40" s="39" t="s">
        <v>33</v>
      </c>
      <c r="D40" s="30" t="s">
        <v>34</v>
      </c>
      <c r="E40" s="30" t="s">
        <v>25</v>
      </c>
      <c r="F40" s="31" t="s">
        <v>359</v>
      </c>
      <c r="G40" s="30" t="s">
        <v>360</v>
      </c>
      <c r="H40" s="36" t="s">
        <v>104</v>
      </c>
      <c r="I40" s="30" t="s">
        <v>361</v>
      </c>
      <c r="J40" s="30" t="s">
        <v>36</v>
      </c>
      <c r="K40" s="30" t="s">
        <v>362</v>
      </c>
      <c r="L40" s="31" t="s">
        <v>363</v>
      </c>
      <c r="M40" s="31"/>
    </row>
    <row r="41" customFormat="false" ht="15" hidden="false" customHeight="false" outlineLevel="0" collapsed="false">
      <c r="A41" s="37" t="s">
        <v>364</v>
      </c>
      <c r="B41" s="38" t="s">
        <v>365</v>
      </c>
      <c r="C41" s="39" t="s">
        <v>33</v>
      </c>
      <c r="D41" s="30" t="s">
        <v>34</v>
      </c>
      <c r="E41" s="30" t="s">
        <v>25</v>
      </c>
      <c r="F41" s="31" t="s">
        <v>366</v>
      </c>
      <c r="G41" s="30" t="s">
        <v>367</v>
      </c>
      <c r="H41" s="32" t="s">
        <v>88</v>
      </c>
      <c r="I41" s="30" t="s">
        <v>368</v>
      </c>
      <c r="J41" s="30" t="s">
        <v>369</v>
      </c>
      <c r="K41" s="30" t="s">
        <v>370</v>
      </c>
      <c r="L41" s="31" t="s">
        <v>371</v>
      </c>
      <c r="M41" s="31"/>
    </row>
    <row r="42" customFormat="false" ht="128.35" hidden="false" customHeight="false" outlineLevel="0" collapsed="false">
      <c r="A42" s="37" t="s">
        <v>372</v>
      </c>
      <c r="B42" s="38" t="s">
        <v>373</v>
      </c>
      <c r="C42" s="39" t="s">
        <v>33</v>
      </c>
      <c r="D42" s="30" t="s">
        <v>34</v>
      </c>
      <c r="E42" s="30" t="s">
        <v>25</v>
      </c>
      <c r="F42" s="31" t="s">
        <v>374</v>
      </c>
      <c r="G42" s="30" t="s">
        <v>169</v>
      </c>
      <c r="H42" s="36" t="s">
        <v>104</v>
      </c>
      <c r="I42" s="31"/>
      <c r="J42" s="30" t="s">
        <v>375</v>
      </c>
      <c r="K42" s="30" t="s">
        <v>376</v>
      </c>
      <c r="L42" s="31" t="s">
        <v>377</v>
      </c>
      <c r="M42" s="31"/>
    </row>
    <row r="43" customFormat="false" ht="15" hidden="false" customHeight="false" outlineLevel="0" collapsed="false">
      <c r="A43" s="37" t="s">
        <v>378</v>
      </c>
      <c r="B43" s="38" t="s">
        <v>379</v>
      </c>
      <c r="C43" s="39" t="s">
        <v>33</v>
      </c>
      <c r="D43" s="30" t="s">
        <v>34</v>
      </c>
      <c r="E43" s="30" t="s">
        <v>25</v>
      </c>
      <c r="F43" s="31" t="s">
        <v>380</v>
      </c>
      <c r="G43" s="30" t="s">
        <v>381</v>
      </c>
      <c r="H43" s="36" t="s">
        <v>104</v>
      </c>
      <c r="I43" s="31"/>
      <c r="J43" s="30" t="s">
        <v>348</v>
      </c>
      <c r="K43" s="30" t="s">
        <v>382</v>
      </c>
      <c r="L43" s="31" t="s">
        <v>383</v>
      </c>
      <c r="M43" s="31"/>
    </row>
    <row r="44" customFormat="false" ht="23.85" hidden="false" customHeight="false" outlineLevel="0" collapsed="false">
      <c r="A44" s="37" t="s">
        <v>384</v>
      </c>
      <c r="B44" s="38" t="s">
        <v>385</v>
      </c>
      <c r="C44" s="39" t="s">
        <v>33</v>
      </c>
      <c r="D44" s="30" t="s">
        <v>34</v>
      </c>
      <c r="E44" s="30" t="s">
        <v>25</v>
      </c>
      <c r="F44" s="31" t="s">
        <v>386</v>
      </c>
      <c r="G44" s="30" t="s">
        <v>387</v>
      </c>
      <c r="H44" s="36" t="s">
        <v>104</v>
      </c>
      <c r="I44" s="30" t="s">
        <v>388</v>
      </c>
      <c r="J44" s="30" t="s">
        <v>348</v>
      </c>
      <c r="K44" s="30" t="s">
        <v>389</v>
      </c>
      <c r="L44" s="31" t="s">
        <v>390</v>
      </c>
      <c r="M44" s="31"/>
    </row>
    <row r="45" customFormat="false" ht="26.85" hidden="false" customHeight="false" outlineLevel="0" collapsed="false">
      <c r="A45" s="37" t="s">
        <v>391</v>
      </c>
      <c r="B45" s="38" t="s">
        <v>392</v>
      </c>
      <c r="C45" s="39" t="s">
        <v>33</v>
      </c>
      <c r="D45" s="30" t="s">
        <v>34</v>
      </c>
      <c r="E45" s="30" t="s">
        <v>25</v>
      </c>
      <c r="F45" s="31" t="s">
        <v>393</v>
      </c>
      <c r="G45" s="30" t="s">
        <v>120</v>
      </c>
      <c r="H45" s="36" t="s">
        <v>104</v>
      </c>
      <c r="I45" s="30" t="s">
        <v>394</v>
      </c>
      <c r="J45" s="30" t="s">
        <v>395</v>
      </c>
      <c r="K45" s="30" t="s">
        <v>396</v>
      </c>
      <c r="L45" s="31" t="s">
        <v>397</v>
      </c>
      <c r="M45" s="31"/>
    </row>
    <row r="46" customFormat="false" ht="44" hidden="false" customHeight="false" outlineLevel="0" collapsed="false">
      <c r="A46" s="37" t="s">
        <v>398</v>
      </c>
      <c r="B46" s="38" t="s">
        <v>399</v>
      </c>
      <c r="C46" s="39" t="s">
        <v>33</v>
      </c>
      <c r="D46" s="30" t="s">
        <v>34</v>
      </c>
      <c r="E46" s="30" t="s">
        <v>25</v>
      </c>
      <c r="F46" s="31" t="s">
        <v>400</v>
      </c>
      <c r="G46" s="31" t="s">
        <v>401</v>
      </c>
      <c r="H46" s="36" t="s">
        <v>104</v>
      </c>
      <c r="I46" s="31" t="s">
        <v>402</v>
      </c>
      <c r="J46" s="30" t="s">
        <v>403</v>
      </c>
      <c r="K46" s="30" t="s">
        <v>404</v>
      </c>
      <c r="L46" s="31" t="s">
        <v>405</v>
      </c>
      <c r="M46" s="31"/>
    </row>
    <row r="47" customFormat="false" ht="86.55" hidden="false" customHeight="false" outlineLevel="0" collapsed="false">
      <c r="A47" s="40" t="s">
        <v>406</v>
      </c>
      <c r="B47" s="41" t="s">
        <v>407</v>
      </c>
      <c r="C47" s="36" t="s">
        <v>37</v>
      </c>
      <c r="D47" s="30" t="s">
        <v>38</v>
      </c>
      <c r="E47" s="30" t="s">
        <v>25</v>
      </c>
      <c r="F47" s="31" t="s">
        <v>408</v>
      </c>
      <c r="G47" s="30" t="s">
        <v>409</v>
      </c>
      <c r="H47" s="32" t="s">
        <v>88</v>
      </c>
      <c r="I47" s="30" t="s">
        <v>410</v>
      </c>
      <c r="J47" s="30" t="s">
        <v>411</v>
      </c>
      <c r="K47" s="30" t="s">
        <v>412</v>
      </c>
      <c r="L47" s="31" t="s">
        <v>413</v>
      </c>
      <c r="M47" s="31"/>
    </row>
    <row r="48" customFormat="false" ht="23.85" hidden="false" customHeight="false" outlineLevel="0" collapsed="false">
      <c r="A48" s="40" t="s">
        <v>414</v>
      </c>
      <c r="B48" s="41" t="s">
        <v>415</v>
      </c>
      <c r="C48" s="36" t="s">
        <v>37</v>
      </c>
      <c r="D48" s="30" t="s">
        <v>38</v>
      </c>
      <c r="E48" s="30" t="s">
        <v>25</v>
      </c>
      <c r="F48" s="31" t="s">
        <v>416</v>
      </c>
      <c r="G48" s="30" t="s">
        <v>417</v>
      </c>
      <c r="H48" s="36" t="s">
        <v>104</v>
      </c>
      <c r="I48" s="30" t="s">
        <v>418</v>
      </c>
      <c r="J48" s="30" t="s">
        <v>411</v>
      </c>
      <c r="K48" s="30" t="s">
        <v>419</v>
      </c>
      <c r="L48" s="31" t="s">
        <v>420</v>
      </c>
      <c r="M48" s="31"/>
    </row>
    <row r="49" customFormat="false" ht="23.85" hidden="false" customHeight="false" outlineLevel="0" collapsed="false">
      <c r="A49" s="40" t="s">
        <v>421</v>
      </c>
      <c r="B49" s="41" t="s">
        <v>422</v>
      </c>
      <c r="C49" s="36" t="s">
        <v>37</v>
      </c>
      <c r="D49" s="30" t="s">
        <v>38</v>
      </c>
      <c r="E49" s="30" t="s">
        <v>25</v>
      </c>
      <c r="F49" s="31" t="s">
        <v>423</v>
      </c>
      <c r="G49" s="30" t="s">
        <v>424</v>
      </c>
      <c r="H49" s="32" t="s">
        <v>88</v>
      </c>
      <c r="I49" s="30" t="s">
        <v>425</v>
      </c>
      <c r="J49" s="30" t="s">
        <v>426</v>
      </c>
      <c r="K49" s="30" t="s">
        <v>427</v>
      </c>
      <c r="L49" s="31" t="s">
        <v>428</v>
      </c>
      <c r="M49" s="31"/>
    </row>
    <row r="50" customFormat="false" ht="38.05" hidden="false" customHeight="false" outlineLevel="0" collapsed="false">
      <c r="A50" s="40" t="s">
        <v>429</v>
      </c>
      <c r="B50" s="41" t="s">
        <v>430</v>
      </c>
      <c r="C50" s="36" t="s">
        <v>41</v>
      </c>
      <c r="D50" s="30" t="s">
        <v>42</v>
      </c>
      <c r="E50" s="30" t="s">
        <v>25</v>
      </c>
      <c r="F50" s="31" t="s">
        <v>431</v>
      </c>
      <c r="G50" s="30" t="s">
        <v>432</v>
      </c>
      <c r="H50" s="32" t="s">
        <v>88</v>
      </c>
      <c r="I50" s="30" t="s">
        <v>433</v>
      </c>
      <c r="J50" s="30" t="s">
        <v>434</v>
      </c>
      <c r="K50" s="30" t="s">
        <v>435</v>
      </c>
      <c r="L50" s="31" t="s">
        <v>436</v>
      </c>
      <c r="M50" s="31"/>
    </row>
    <row r="51" customFormat="false" ht="15" hidden="false" customHeight="false" outlineLevel="0" collapsed="false">
      <c r="A51" s="40" t="s">
        <v>437</v>
      </c>
      <c r="B51" s="41" t="s">
        <v>438</v>
      </c>
      <c r="C51" s="36" t="s">
        <v>41</v>
      </c>
      <c r="D51" s="30" t="s">
        <v>42</v>
      </c>
      <c r="E51" s="30" t="s">
        <v>25</v>
      </c>
      <c r="F51" s="31" t="s">
        <v>439</v>
      </c>
      <c r="G51" s="30" t="s">
        <v>197</v>
      </c>
      <c r="H51" s="36" t="s">
        <v>104</v>
      </c>
      <c r="I51" s="30" t="s">
        <v>197</v>
      </c>
      <c r="J51" s="30" t="s">
        <v>440</v>
      </c>
      <c r="K51" s="30" t="s">
        <v>441</v>
      </c>
      <c r="L51" s="31" t="s">
        <v>442</v>
      </c>
      <c r="M51" s="31"/>
    </row>
    <row r="52" customFormat="false" ht="15" hidden="false" customHeight="false" outlineLevel="0" collapsed="false">
      <c r="A52" s="40" t="s">
        <v>443</v>
      </c>
      <c r="B52" s="41" t="s">
        <v>444</v>
      </c>
      <c r="C52" s="36" t="s">
        <v>41</v>
      </c>
      <c r="D52" s="30" t="s">
        <v>42</v>
      </c>
      <c r="E52" s="30" t="s">
        <v>25</v>
      </c>
      <c r="F52" s="31" t="s">
        <v>445</v>
      </c>
      <c r="G52" s="30" t="s">
        <v>197</v>
      </c>
      <c r="H52" s="36" t="s">
        <v>104</v>
      </c>
      <c r="I52" s="30" t="s">
        <v>446</v>
      </c>
      <c r="J52" s="30" t="s">
        <v>411</v>
      </c>
      <c r="K52" s="30" t="s">
        <v>447</v>
      </c>
      <c r="L52" s="31" t="s">
        <v>448</v>
      </c>
      <c r="M52" s="31"/>
    </row>
    <row r="53" customFormat="false" ht="15" hidden="false" customHeight="false" outlineLevel="0" collapsed="false">
      <c r="A53" s="40" t="s">
        <v>449</v>
      </c>
      <c r="B53" s="41" t="s">
        <v>450</v>
      </c>
      <c r="C53" s="36" t="s">
        <v>41</v>
      </c>
      <c r="D53" s="30" t="s">
        <v>42</v>
      </c>
      <c r="E53" s="30" t="s">
        <v>25</v>
      </c>
      <c r="F53" s="31" t="s">
        <v>451</v>
      </c>
      <c r="G53" s="30" t="s">
        <v>361</v>
      </c>
      <c r="H53" s="36" t="s">
        <v>104</v>
      </c>
      <c r="I53" s="30" t="s">
        <v>452</v>
      </c>
      <c r="J53" s="30" t="s">
        <v>453</v>
      </c>
      <c r="K53" s="30" t="s">
        <v>454</v>
      </c>
      <c r="L53" s="31" t="s">
        <v>455</v>
      </c>
      <c r="M53" s="31"/>
    </row>
    <row r="54" customFormat="false" ht="29.85" hidden="false" customHeight="false" outlineLevel="0" collapsed="false">
      <c r="A54" s="40" t="s">
        <v>456</v>
      </c>
      <c r="B54" s="41" t="s">
        <v>457</v>
      </c>
      <c r="C54" s="36" t="s">
        <v>41</v>
      </c>
      <c r="D54" s="30" t="s">
        <v>42</v>
      </c>
      <c r="E54" s="30" t="s">
        <v>25</v>
      </c>
      <c r="F54" s="31" t="s">
        <v>458</v>
      </c>
      <c r="G54" s="30" t="s">
        <v>424</v>
      </c>
      <c r="H54" s="32" t="s">
        <v>88</v>
      </c>
      <c r="I54" s="30" t="s">
        <v>459</v>
      </c>
      <c r="J54" s="30" t="s">
        <v>453</v>
      </c>
      <c r="K54" s="30" t="s">
        <v>460</v>
      </c>
      <c r="L54" s="31" t="s">
        <v>461</v>
      </c>
      <c r="M54" s="31"/>
    </row>
    <row r="55" customFormat="false" ht="15" hidden="false" customHeight="false" outlineLevel="0" collapsed="false">
      <c r="A55" s="40" t="s">
        <v>462</v>
      </c>
      <c r="B55" s="41" t="s">
        <v>463</v>
      </c>
      <c r="C55" s="36" t="s">
        <v>41</v>
      </c>
      <c r="D55" s="30" t="s">
        <v>42</v>
      </c>
      <c r="E55" s="30" t="s">
        <v>25</v>
      </c>
      <c r="F55" s="31" t="s">
        <v>464</v>
      </c>
      <c r="G55" s="30" t="s">
        <v>353</v>
      </c>
      <c r="H55" s="36" t="s">
        <v>104</v>
      </c>
      <c r="I55" s="30" t="s">
        <v>465</v>
      </c>
      <c r="J55" s="30" t="s">
        <v>466</v>
      </c>
      <c r="K55" s="30" t="s">
        <v>467</v>
      </c>
      <c r="L55" s="31" t="s">
        <v>468</v>
      </c>
      <c r="M55" s="31"/>
    </row>
    <row r="56" customFormat="false" ht="26.85" hidden="false" customHeight="false" outlineLevel="0" collapsed="false">
      <c r="A56" s="40" t="s">
        <v>469</v>
      </c>
      <c r="B56" s="41" t="s">
        <v>470</v>
      </c>
      <c r="C56" s="36" t="s">
        <v>41</v>
      </c>
      <c r="D56" s="30" t="s">
        <v>42</v>
      </c>
      <c r="E56" s="30" t="s">
        <v>25</v>
      </c>
      <c r="F56" s="31" t="s">
        <v>471</v>
      </c>
      <c r="G56" s="30" t="s">
        <v>361</v>
      </c>
      <c r="H56" s="36" t="s">
        <v>104</v>
      </c>
      <c r="I56" s="31"/>
      <c r="J56" s="30" t="s">
        <v>472</v>
      </c>
      <c r="K56" s="30" t="s">
        <v>473</v>
      </c>
      <c r="L56" s="31" t="s">
        <v>474</v>
      </c>
      <c r="M56" s="31"/>
    </row>
    <row r="57" customFormat="false" ht="60.4" hidden="false" customHeight="false" outlineLevel="0" collapsed="false">
      <c r="A57" s="40" t="s">
        <v>475</v>
      </c>
      <c r="B57" s="41" t="s">
        <v>476</v>
      </c>
      <c r="C57" s="36" t="s">
        <v>41</v>
      </c>
      <c r="D57" s="30" t="s">
        <v>42</v>
      </c>
      <c r="E57" s="30" t="s">
        <v>25</v>
      </c>
      <c r="F57" s="31" t="s">
        <v>477</v>
      </c>
      <c r="G57" s="31" t="s">
        <v>401</v>
      </c>
      <c r="H57" s="36" t="s">
        <v>104</v>
      </c>
      <c r="I57" s="31" t="s">
        <v>478</v>
      </c>
      <c r="J57" s="30" t="s">
        <v>479</v>
      </c>
      <c r="K57" s="30" t="s">
        <v>480</v>
      </c>
      <c r="L57" s="31" t="s">
        <v>481</v>
      </c>
      <c r="M57" s="31"/>
    </row>
    <row r="58" customFormat="false" ht="29.85" hidden="false" customHeight="false" outlineLevel="0" collapsed="false">
      <c r="A58" s="40" t="s">
        <v>482</v>
      </c>
      <c r="B58" s="41" t="s">
        <v>483</v>
      </c>
      <c r="C58" s="36" t="s">
        <v>41</v>
      </c>
      <c r="D58" s="30" t="s">
        <v>42</v>
      </c>
      <c r="E58" s="30" t="s">
        <v>25</v>
      </c>
      <c r="F58" s="31" t="s">
        <v>484</v>
      </c>
      <c r="G58" s="30" t="s">
        <v>367</v>
      </c>
      <c r="H58" s="32" t="s">
        <v>88</v>
      </c>
      <c r="I58" s="30" t="s">
        <v>485</v>
      </c>
      <c r="J58" s="30" t="s">
        <v>486</v>
      </c>
      <c r="K58" s="30" t="s">
        <v>487</v>
      </c>
      <c r="L58" s="31" t="s">
        <v>488</v>
      </c>
      <c r="M58" s="31"/>
    </row>
    <row r="59" customFormat="false" ht="15" hidden="false" customHeight="false" outlineLevel="0" collapsed="false">
      <c r="A59" s="40" t="s">
        <v>489</v>
      </c>
      <c r="B59" s="41" t="s">
        <v>490</v>
      </c>
      <c r="C59" s="36" t="s">
        <v>41</v>
      </c>
      <c r="D59" s="30" t="s">
        <v>42</v>
      </c>
      <c r="E59" s="30" t="s">
        <v>25</v>
      </c>
      <c r="F59" s="31" t="s">
        <v>491</v>
      </c>
      <c r="G59" s="30" t="s">
        <v>219</v>
      </c>
      <c r="H59" s="36" t="s">
        <v>104</v>
      </c>
      <c r="I59" s="30" t="s">
        <v>492</v>
      </c>
      <c r="J59" s="30" t="s">
        <v>493</v>
      </c>
      <c r="K59" s="30" t="s">
        <v>494</v>
      </c>
      <c r="L59" s="31" t="s">
        <v>495</v>
      </c>
      <c r="M59" s="31"/>
    </row>
    <row r="60" customFormat="false" ht="66.4" hidden="false" customHeight="false" outlineLevel="0" collapsed="false">
      <c r="A60" s="42" t="s">
        <v>496</v>
      </c>
      <c r="B60" s="43" t="s">
        <v>497</v>
      </c>
      <c r="C60" s="44" t="s">
        <v>44</v>
      </c>
      <c r="D60" s="30" t="s">
        <v>45</v>
      </c>
      <c r="E60" s="30" t="s">
        <v>47</v>
      </c>
      <c r="F60" s="31" t="s">
        <v>498</v>
      </c>
      <c r="G60" s="30" t="s">
        <v>499</v>
      </c>
      <c r="H60" s="36" t="s">
        <v>104</v>
      </c>
      <c r="I60" s="30" t="s">
        <v>500</v>
      </c>
      <c r="J60" s="30" t="s">
        <v>501</v>
      </c>
      <c r="K60" s="30" t="s">
        <v>502</v>
      </c>
      <c r="L60" s="31" t="s">
        <v>503</v>
      </c>
      <c r="M60" s="31"/>
    </row>
    <row r="61" customFormat="false" ht="23.85" hidden="false" customHeight="false" outlineLevel="0" collapsed="false">
      <c r="A61" s="42" t="s">
        <v>504</v>
      </c>
      <c r="B61" s="43" t="s">
        <v>505</v>
      </c>
      <c r="C61" s="44" t="s">
        <v>44</v>
      </c>
      <c r="D61" s="30" t="s">
        <v>45</v>
      </c>
      <c r="E61" s="30" t="s">
        <v>47</v>
      </c>
      <c r="F61" s="31" t="s">
        <v>506</v>
      </c>
      <c r="G61" s="30" t="s">
        <v>361</v>
      </c>
      <c r="H61" s="36" t="s">
        <v>104</v>
      </c>
      <c r="I61" s="31"/>
      <c r="J61" s="30" t="s">
        <v>501</v>
      </c>
      <c r="K61" s="30" t="s">
        <v>507</v>
      </c>
      <c r="L61" s="31" t="s">
        <v>508</v>
      </c>
      <c r="M61" s="31"/>
    </row>
    <row r="62" customFormat="false" ht="15" hidden="false" customHeight="false" outlineLevel="0" collapsed="false">
      <c r="A62" s="42" t="s">
        <v>509</v>
      </c>
      <c r="B62" s="43" t="s">
        <v>510</v>
      </c>
      <c r="C62" s="44" t="s">
        <v>44</v>
      </c>
      <c r="D62" s="30" t="s">
        <v>45</v>
      </c>
      <c r="E62" s="30" t="s">
        <v>47</v>
      </c>
      <c r="F62" s="31" t="s">
        <v>511</v>
      </c>
      <c r="G62" s="30" t="s">
        <v>361</v>
      </c>
      <c r="H62" s="36" t="s">
        <v>104</v>
      </c>
      <c r="I62" s="31"/>
      <c r="J62" s="30" t="s">
        <v>512</v>
      </c>
      <c r="K62" s="30" t="s">
        <v>513</v>
      </c>
      <c r="L62" s="31" t="s">
        <v>514</v>
      </c>
      <c r="M62" s="31"/>
    </row>
    <row r="63" customFormat="false" ht="15" hidden="false" customHeight="false" outlineLevel="0" collapsed="false">
      <c r="A63" s="42" t="s">
        <v>515</v>
      </c>
      <c r="B63" s="43" t="s">
        <v>516</v>
      </c>
      <c r="C63" s="44" t="s">
        <v>44</v>
      </c>
      <c r="D63" s="30" t="s">
        <v>45</v>
      </c>
      <c r="E63" s="30" t="s">
        <v>47</v>
      </c>
      <c r="F63" s="31" t="s">
        <v>517</v>
      </c>
      <c r="G63" s="30" t="s">
        <v>219</v>
      </c>
      <c r="H63" s="36" t="s">
        <v>104</v>
      </c>
      <c r="I63" s="30" t="s">
        <v>492</v>
      </c>
      <c r="J63" s="30" t="s">
        <v>518</v>
      </c>
      <c r="K63" s="30" t="s">
        <v>519</v>
      </c>
      <c r="L63" s="31" t="s">
        <v>520</v>
      </c>
      <c r="M63" s="31"/>
    </row>
    <row r="64" customFormat="false" ht="15" hidden="false" customHeight="false" outlineLevel="0" collapsed="false">
      <c r="A64" s="42" t="s">
        <v>521</v>
      </c>
      <c r="B64" s="43" t="s">
        <v>522</v>
      </c>
      <c r="C64" s="44" t="s">
        <v>44</v>
      </c>
      <c r="D64" s="30" t="s">
        <v>45</v>
      </c>
      <c r="E64" s="30" t="s">
        <v>47</v>
      </c>
      <c r="F64" s="31" t="s">
        <v>523</v>
      </c>
      <c r="G64" s="30" t="s">
        <v>169</v>
      </c>
      <c r="H64" s="36" t="s">
        <v>104</v>
      </c>
      <c r="I64" s="31"/>
      <c r="J64" s="30" t="s">
        <v>524</v>
      </c>
      <c r="K64" s="30" t="s">
        <v>525</v>
      </c>
      <c r="L64" s="31" t="s">
        <v>526</v>
      </c>
      <c r="M64" s="31"/>
    </row>
    <row r="65" customFormat="false" ht="29.85" hidden="false" customHeight="false" outlineLevel="0" collapsed="false">
      <c r="A65" s="42" t="s">
        <v>527</v>
      </c>
      <c r="B65" s="43" t="s">
        <v>528</v>
      </c>
      <c r="C65" s="44" t="s">
        <v>49</v>
      </c>
      <c r="D65" s="30" t="s">
        <v>50</v>
      </c>
      <c r="E65" s="30" t="s">
        <v>47</v>
      </c>
      <c r="F65" s="31" t="s">
        <v>529</v>
      </c>
      <c r="G65" s="30" t="s">
        <v>361</v>
      </c>
      <c r="H65" s="36" t="s">
        <v>104</v>
      </c>
      <c r="I65" s="31"/>
      <c r="J65" s="30" t="s">
        <v>530</v>
      </c>
      <c r="K65" s="30" t="s">
        <v>531</v>
      </c>
      <c r="L65" s="31" t="s">
        <v>532</v>
      </c>
      <c r="M65" s="31"/>
    </row>
    <row r="66" customFormat="false" ht="29.85" hidden="false" customHeight="false" outlineLevel="0" collapsed="false">
      <c r="A66" s="42" t="s">
        <v>533</v>
      </c>
      <c r="B66" s="43" t="s">
        <v>534</v>
      </c>
      <c r="C66" s="44" t="s">
        <v>49</v>
      </c>
      <c r="D66" s="30" t="s">
        <v>50</v>
      </c>
      <c r="E66" s="30" t="s">
        <v>47</v>
      </c>
      <c r="F66" s="31" t="s">
        <v>535</v>
      </c>
      <c r="G66" s="30" t="s">
        <v>361</v>
      </c>
      <c r="H66" s="36" t="s">
        <v>104</v>
      </c>
      <c r="I66" s="31"/>
      <c r="J66" s="30" t="s">
        <v>536</v>
      </c>
      <c r="K66" s="30" t="s">
        <v>537</v>
      </c>
      <c r="L66" s="31" t="s">
        <v>538</v>
      </c>
      <c r="M66" s="31"/>
    </row>
    <row r="67" customFormat="false" ht="15" hidden="false" customHeight="false" outlineLevel="0" collapsed="false">
      <c r="A67" s="42" t="s">
        <v>539</v>
      </c>
      <c r="B67" s="43" t="s">
        <v>540</v>
      </c>
      <c r="C67" s="44" t="s">
        <v>49</v>
      </c>
      <c r="D67" s="30" t="s">
        <v>50</v>
      </c>
      <c r="E67" s="30" t="s">
        <v>47</v>
      </c>
      <c r="F67" s="31" t="s">
        <v>541</v>
      </c>
      <c r="G67" s="30" t="s">
        <v>361</v>
      </c>
      <c r="H67" s="36" t="s">
        <v>104</v>
      </c>
      <c r="I67" s="31"/>
      <c r="J67" s="30" t="s">
        <v>542</v>
      </c>
      <c r="K67" s="30" t="s">
        <v>543</v>
      </c>
      <c r="L67" s="31" t="s">
        <v>544</v>
      </c>
      <c r="M67" s="31"/>
    </row>
    <row r="68" customFormat="false" ht="15" hidden="false" customHeight="false" outlineLevel="0" collapsed="false">
      <c r="A68" s="42" t="s">
        <v>545</v>
      </c>
      <c r="B68" s="43" t="s">
        <v>546</v>
      </c>
      <c r="C68" s="44" t="s">
        <v>49</v>
      </c>
      <c r="D68" s="30" t="s">
        <v>50</v>
      </c>
      <c r="E68" s="30" t="s">
        <v>47</v>
      </c>
      <c r="F68" s="31" t="s">
        <v>547</v>
      </c>
      <c r="G68" s="30" t="s">
        <v>548</v>
      </c>
      <c r="H68" s="36" t="s">
        <v>104</v>
      </c>
      <c r="I68" s="30" t="s">
        <v>549</v>
      </c>
      <c r="J68" s="30" t="s">
        <v>550</v>
      </c>
      <c r="K68" s="30" t="s">
        <v>551</v>
      </c>
      <c r="L68" s="31" t="s">
        <v>552</v>
      </c>
      <c r="M68" s="31"/>
    </row>
    <row r="69" customFormat="false" ht="15" hidden="false" customHeight="false" outlineLevel="0" collapsed="false">
      <c r="A69" s="42" t="s">
        <v>553</v>
      </c>
      <c r="B69" s="43" t="s">
        <v>554</v>
      </c>
      <c r="C69" s="44" t="s">
        <v>49</v>
      </c>
      <c r="D69" s="30" t="s">
        <v>50</v>
      </c>
      <c r="E69" s="30" t="s">
        <v>47</v>
      </c>
      <c r="F69" s="31" t="s">
        <v>555</v>
      </c>
      <c r="G69" s="31" t="s">
        <v>401</v>
      </c>
      <c r="H69" s="36" t="s">
        <v>104</v>
      </c>
      <c r="I69" s="31" t="s">
        <v>402</v>
      </c>
      <c r="J69" s="30" t="s">
        <v>556</v>
      </c>
      <c r="K69" s="30" t="s">
        <v>557</v>
      </c>
      <c r="L69" s="31" t="s">
        <v>558</v>
      </c>
      <c r="M69" s="31"/>
    </row>
    <row r="70" customFormat="false" ht="15" hidden="false" customHeight="false" outlineLevel="0" collapsed="false">
      <c r="A70" s="42" t="s">
        <v>559</v>
      </c>
      <c r="B70" s="43" t="s">
        <v>560</v>
      </c>
      <c r="C70" s="44" t="s">
        <v>49</v>
      </c>
      <c r="D70" s="30" t="s">
        <v>50</v>
      </c>
      <c r="E70" s="30" t="s">
        <v>47</v>
      </c>
      <c r="F70" s="31" t="s">
        <v>561</v>
      </c>
      <c r="G70" s="30" t="s">
        <v>361</v>
      </c>
      <c r="H70" s="36" t="s">
        <v>104</v>
      </c>
      <c r="I70" s="31"/>
      <c r="J70" s="30" t="s">
        <v>562</v>
      </c>
      <c r="K70" s="30" t="s">
        <v>563</v>
      </c>
      <c r="L70" s="31" t="s">
        <v>564</v>
      </c>
      <c r="M70" s="31"/>
    </row>
    <row r="71" customFormat="false" ht="15" hidden="false" customHeight="false" outlineLevel="0" collapsed="false">
      <c r="A71" s="42" t="s">
        <v>565</v>
      </c>
      <c r="B71" s="43" t="s">
        <v>566</v>
      </c>
      <c r="C71" s="44" t="s">
        <v>49</v>
      </c>
      <c r="D71" s="30" t="s">
        <v>50</v>
      </c>
      <c r="E71" s="30" t="s">
        <v>47</v>
      </c>
      <c r="F71" s="31" t="s">
        <v>567</v>
      </c>
      <c r="G71" s="30" t="s">
        <v>227</v>
      </c>
      <c r="H71" s="36" t="s">
        <v>104</v>
      </c>
      <c r="I71" s="30" t="s">
        <v>568</v>
      </c>
      <c r="J71" s="30" t="s">
        <v>569</v>
      </c>
      <c r="K71" s="30" t="s">
        <v>570</v>
      </c>
      <c r="L71" s="31" t="s">
        <v>571</v>
      </c>
      <c r="M71" s="31"/>
    </row>
    <row r="72" customFormat="false" ht="15" hidden="false" customHeight="false" outlineLevel="0" collapsed="false">
      <c r="A72" s="45" t="s">
        <v>572</v>
      </c>
      <c r="B72" s="46" t="s">
        <v>573</v>
      </c>
      <c r="C72" s="47" t="s">
        <v>52</v>
      </c>
      <c r="D72" s="30" t="s">
        <v>53</v>
      </c>
      <c r="E72" s="30" t="s">
        <v>47</v>
      </c>
      <c r="F72" s="31" t="s">
        <v>574</v>
      </c>
      <c r="G72" s="30" t="s">
        <v>361</v>
      </c>
      <c r="H72" s="36" t="s">
        <v>104</v>
      </c>
      <c r="I72" s="31"/>
      <c r="J72" s="30" t="s">
        <v>575</v>
      </c>
      <c r="K72" s="30" t="s">
        <v>576</v>
      </c>
      <c r="L72" s="31" t="s">
        <v>577</v>
      </c>
      <c r="M72" s="31"/>
    </row>
    <row r="73" customFormat="false" ht="26.85" hidden="false" customHeight="false" outlineLevel="0" collapsed="false">
      <c r="A73" s="45" t="s">
        <v>578</v>
      </c>
      <c r="B73" s="46" t="s">
        <v>579</v>
      </c>
      <c r="C73" s="47" t="s">
        <v>52</v>
      </c>
      <c r="D73" s="30" t="s">
        <v>53</v>
      </c>
      <c r="E73" s="30" t="s">
        <v>47</v>
      </c>
      <c r="F73" s="31" t="s">
        <v>580</v>
      </c>
      <c r="G73" s="30" t="s">
        <v>361</v>
      </c>
      <c r="H73" s="36" t="s">
        <v>104</v>
      </c>
      <c r="I73" s="31"/>
      <c r="J73" s="30" t="s">
        <v>55</v>
      </c>
      <c r="K73" s="30" t="s">
        <v>581</v>
      </c>
      <c r="L73" s="31" t="s">
        <v>582</v>
      </c>
      <c r="M73" s="31"/>
    </row>
    <row r="74" customFormat="false" ht="15" hidden="false" customHeight="false" outlineLevel="0" collapsed="false">
      <c r="A74" s="45" t="s">
        <v>583</v>
      </c>
      <c r="B74" s="46" t="s">
        <v>584</v>
      </c>
      <c r="C74" s="47" t="s">
        <v>52</v>
      </c>
      <c r="D74" s="30" t="s">
        <v>53</v>
      </c>
      <c r="E74" s="30" t="s">
        <v>47</v>
      </c>
      <c r="F74" s="31" t="s">
        <v>585</v>
      </c>
      <c r="G74" s="30" t="s">
        <v>361</v>
      </c>
      <c r="H74" s="36" t="s">
        <v>104</v>
      </c>
      <c r="I74" s="30" t="s">
        <v>586</v>
      </c>
      <c r="J74" s="30" t="s">
        <v>55</v>
      </c>
      <c r="K74" s="31" t="s">
        <v>587</v>
      </c>
      <c r="L74" s="31" t="s">
        <v>588</v>
      </c>
      <c r="M74" s="31"/>
    </row>
    <row r="75" customFormat="false" ht="15" hidden="false" customHeight="false" outlineLevel="0" collapsed="false">
      <c r="A75" s="45" t="s">
        <v>589</v>
      </c>
      <c r="B75" s="46" t="s">
        <v>590</v>
      </c>
      <c r="C75" s="47" t="s">
        <v>52</v>
      </c>
      <c r="D75" s="30" t="s">
        <v>53</v>
      </c>
      <c r="E75" s="30" t="s">
        <v>47</v>
      </c>
      <c r="F75" s="31" t="s">
        <v>591</v>
      </c>
      <c r="G75" s="30" t="s">
        <v>592</v>
      </c>
      <c r="H75" s="32" t="s">
        <v>88</v>
      </c>
      <c r="I75" s="30" t="s">
        <v>593</v>
      </c>
      <c r="J75" s="30" t="s">
        <v>55</v>
      </c>
      <c r="K75" s="31"/>
      <c r="L75" s="31" t="s">
        <v>594</v>
      </c>
      <c r="M75" s="31"/>
    </row>
    <row r="76" customFormat="false" ht="26.85" hidden="false" customHeight="false" outlineLevel="0" collapsed="false">
      <c r="A76" s="45" t="s">
        <v>595</v>
      </c>
      <c r="B76" s="46" t="s">
        <v>596</v>
      </c>
      <c r="C76" s="47" t="s">
        <v>56</v>
      </c>
      <c r="D76" s="30" t="s">
        <v>57</v>
      </c>
      <c r="E76" s="30" t="s">
        <v>47</v>
      </c>
      <c r="F76" s="31" t="s">
        <v>597</v>
      </c>
      <c r="G76" s="30" t="s">
        <v>598</v>
      </c>
      <c r="H76" s="36" t="s">
        <v>104</v>
      </c>
      <c r="I76" s="30" t="s">
        <v>599</v>
      </c>
      <c r="J76" s="30" t="s">
        <v>59</v>
      </c>
      <c r="K76" s="30" t="s">
        <v>600</v>
      </c>
      <c r="L76" s="31" t="s">
        <v>601</v>
      </c>
      <c r="M76" s="31"/>
    </row>
    <row r="77" customFormat="false" ht="15" hidden="false" customHeight="false" outlineLevel="0" collapsed="false">
      <c r="A77" s="45" t="s">
        <v>602</v>
      </c>
      <c r="B77" s="46" t="s">
        <v>603</v>
      </c>
      <c r="C77" s="47" t="s">
        <v>56</v>
      </c>
      <c r="D77" s="30" t="s">
        <v>57</v>
      </c>
      <c r="E77" s="30" t="s">
        <v>47</v>
      </c>
      <c r="F77" s="31" t="s">
        <v>604</v>
      </c>
      <c r="G77" s="30" t="s">
        <v>598</v>
      </c>
      <c r="H77" s="36" t="s">
        <v>104</v>
      </c>
      <c r="I77" s="30" t="s">
        <v>599</v>
      </c>
      <c r="J77" s="30" t="s">
        <v>605</v>
      </c>
      <c r="K77" s="30" t="s">
        <v>606</v>
      </c>
      <c r="L77" s="31" t="s">
        <v>607</v>
      </c>
      <c r="M77" s="31"/>
    </row>
    <row r="78" customFormat="false" ht="15" hidden="false" customHeight="false" outlineLevel="0" collapsed="false">
      <c r="A78" s="45" t="s">
        <v>608</v>
      </c>
      <c r="B78" s="46" t="s">
        <v>609</v>
      </c>
      <c r="C78" s="47" t="s">
        <v>56</v>
      </c>
      <c r="D78" s="30" t="s">
        <v>57</v>
      </c>
      <c r="E78" s="30" t="s">
        <v>47</v>
      </c>
      <c r="F78" s="31" t="s">
        <v>610</v>
      </c>
      <c r="G78" s="30" t="s">
        <v>611</v>
      </c>
      <c r="H78" s="36" t="s">
        <v>104</v>
      </c>
      <c r="I78" s="30" t="s">
        <v>612</v>
      </c>
      <c r="J78" s="30" t="s">
        <v>613</v>
      </c>
      <c r="K78" s="30" t="s">
        <v>614</v>
      </c>
      <c r="L78" s="31" t="s">
        <v>615</v>
      </c>
      <c r="M78" s="31"/>
    </row>
    <row r="79" customFormat="false" ht="26.85" hidden="false" customHeight="false" outlineLevel="0" collapsed="false">
      <c r="A79" s="45" t="s">
        <v>616</v>
      </c>
      <c r="B79" s="46" t="s">
        <v>617</v>
      </c>
      <c r="C79" s="47" t="s">
        <v>56</v>
      </c>
      <c r="D79" s="30" t="s">
        <v>57</v>
      </c>
      <c r="E79" s="30" t="s">
        <v>47</v>
      </c>
      <c r="F79" s="31" t="s">
        <v>618</v>
      </c>
      <c r="G79" s="30" t="s">
        <v>361</v>
      </c>
      <c r="H79" s="36" t="s">
        <v>104</v>
      </c>
      <c r="I79" s="31"/>
      <c r="J79" s="30" t="s">
        <v>605</v>
      </c>
      <c r="K79" s="30" t="s">
        <v>619</v>
      </c>
      <c r="L79" s="31" t="s">
        <v>620</v>
      </c>
      <c r="M79" s="31"/>
    </row>
    <row r="80" customFormat="false" ht="15" hidden="false" customHeight="false" outlineLevel="0" collapsed="false">
      <c r="A80" s="45" t="s">
        <v>621</v>
      </c>
      <c r="B80" s="46" t="s">
        <v>622</v>
      </c>
      <c r="C80" s="47" t="s">
        <v>56</v>
      </c>
      <c r="D80" s="30" t="s">
        <v>57</v>
      </c>
      <c r="E80" s="30" t="s">
        <v>47</v>
      </c>
      <c r="F80" s="31" t="s">
        <v>623</v>
      </c>
      <c r="G80" s="30" t="s">
        <v>361</v>
      </c>
      <c r="H80" s="36" t="s">
        <v>104</v>
      </c>
      <c r="I80" s="31"/>
      <c r="J80" s="30" t="s">
        <v>59</v>
      </c>
      <c r="K80" s="30" t="s">
        <v>624</v>
      </c>
      <c r="L80" s="31" t="s">
        <v>625</v>
      </c>
      <c r="M80" s="31"/>
    </row>
    <row r="81" customFormat="false" ht="15" hidden="false" customHeight="false" outlineLevel="0" collapsed="false">
      <c r="A81" s="45" t="s">
        <v>626</v>
      </c>
      <c r="B81" s="46" t="s">
        <v>627</v>
      </c>
      <c r="C81" s="47" t="s">
        <v>56</v>
      </c>
      <c r="D81" s="30" t="s">
        <v>57</v>
      </c>
      <c r="E81" s="30" t="s">
        <v>47</v>
      </c>
      <c r="F81" s="31" t="s">
        <v>628</v>
      </c>
      <c r="G81" s="30" t="s">
        <v>592</v>
      </c>
      <c r="H81" s="32" t="s">
        <v>88</v>
      </c>
      <c r="I81" s="30" t="s">
        <v>629</v>
      </c>
      <c r="J81" s="30" t="s">
        <v>59</v>
      </c>
      <c r="K81" s="30" t="s">
        <v>630</v>
      </c>
      <c r="L81" s="31" t="s">
        <v>594</v>
      </c>
      <c r="M81" s="31"/>
    </row>
    <row r="82" customFormat="false" ht="15" hidden="false" customHeight="false" outlineLevel="0" collapsed="false">
      <c r="A82" s="45" t="s">
        <v>631</v>
      </c>
      <c r="B82" s="46" t="s">
        <v>632</v>
      </c>
      <c r="C82" s="47" t="s">
        <v>56</v>
      </c>
      <c r="D82" s="30" t="s">
        <v>57</v>
      </c>
      <c r="E82" s="30" t="s">
        <v>47</v>
      </c>
      <c r="F82" s="31" t="s">
        <v>633</v>
      </c>
      <c r="G82" s="30" t="s">
        <v>361</v>
      </c>
      <c r="H82" s="36" t="s">
        <v>104</v>
      </c>
      <c r="I82" s="31"/>
      <c r="J82" s="30" t="s">
        <v>59</v>
      </c>
      <c r="K82" s="30" t="s">
        <v>634</v>
      </c>
      <c r="L82" s="31" t="s">
        <v>635</v>
      </c>
      <c r="M82" s="31"/>
    </row>
    <row r="83" customFormat="false" ht="69.4" hidden="false" customHeight="false" outlineLevel="0" collapsed="false">
      <c r="A83" s="48" t="s">
        <v>636</v>
      </c>
      <c r="B83" s="49" t="s">
        <v>637</v>
      </c>
      <c r="C83" s="50" t="s">
        <v>60</v>
      </c>
      <c r="D83" s="30" t="s">
        <v>61</v>
      </c>
      <c r="E83" s="30" t="s">
        <v>47</v>
      </c>
      <c r="F83" s="31" t="s">
        <v>638</v>
      </c>
      <c r="G83" s="30" t="s">
        <v>639</v>
      </c>
      <c r="H83" s="36" t="s">
        <v>104</v>
      </c>
      <c r="I83" s="31"/>
      <c r="J83" s="30" t="s">
        <v>640</v>
      </c>
      <c r="K83" s="30" t="s">
        <v>641</v>
      </c>
      <c r="L83" s="31" t="s">
        <v>642</v>
      </c>
      <c r="M83" s="31"/>
    </row>
    <row r="84" customFormat="false" ht="15" hidden="false" customHeight="false" outlineLevel="0" collapsed="false">
      <c r="A84" s="48" t="s">
        <v>643</v>
      </c>
      <c r="B84" s="48" t="s">
        <v>644</v>
      </c>
      <c r="C84" s="50" t="s">
        <v>60</v>
      </c>
      <c r="D84" s="30" t="s">
        <v>61</v>
      </c>
      <c r="E84" s="30" t="s">
        <v>47</v>
      </c>
      <c r="F84" s="31" t="s">
        <v>645</v>
      </c>
      <c r="G84" s="30" t="s">
        <v>169</v>
      </c>
      <c r="H84" s="36" t="s">
        <v>104</v>
      </c>
      <c r="I84" s="31"/>
      <c r="J84" s="30" t="s">
        <v>640</v>
      </c>
      <c r="K84" s="31"/>
      <c r="L84" s="31" t="s">
        <v>646</v>
      </c>
      <c r="M84" s="31"/>
    </row>
    <row r="85" customFormat="false" ht="15" hidden="false" customHeight="false" outlineLevel="0" collapsed="false">
      <c r="A85" s="48" t="s">
        <v>647</v>
      </c>
      <c r="B85" s="49" t="s">
        <v>648</v>
      </c>
      <c r="C85" s="50" t="s">
        <v>60</v>
      </c>
      <c r="D85" s="30" t="s">
        <v>61</v>
      </c>
      <c r="E85" s="30" t="s">
        <v>47</v>
      </c>
      <c r="F85" s="31" t="s">
        <v>649</v>
      </c>
      <c r="G85" s="30" t="s">
        <v>650</v>
      </c>
      <c r="H85" s="36" t="s">
        <v>104</v>
      </c>
      <c r="I85" s="31"/>
      <c r="J85" s="30" t="s">
        <v>651</v>
      </c>
      <c r="K85" s="30" t="s">
        <v>652</v>
      </c>
      <c r="L85" s="31" t="s">
        <v>646</v>
      </c>
      <c r="M85" s="31"/>
    </row>
    <row r="86" customFormat="false" ht="15" hidden="false" customHeight="false" outlineLevel="0" collapsed="false">
      <c r="A86" s="48" t="s">
        <v>653</v>
      </c>
      <c r="B86" s="49" t="s">
        <v>654</v>
      </c>
      <c r="C86" s="50" t="s">
        <v>60</v>
      </c>
      <c r="D86" s="30" t="s">
        <v>61</v>
      </c>
      <c r="E86" s="30" t="s">
        <v>47</v>
      </c>
      <c r="F86" s="31" t="s">
        <v>655</v>
      </c>
      <c r="G86" s="31" t="s">
        <v>401</v>
      </c>
      <c r="H86" s="36" t="s">
        <v>104</v>
      </c>
      <c r="I86" s="31" t="s">
        <v>402</v>
      </c>
      <c r="J86" s="30" t="s">
        <v>656</v>
      </c>
      <c r="K86" s="30" t="s">
        <v>657</v>
      </c>
      <c r="L86" s="31" t="s">
        <v>658</v>
      </c>
      <c r="M86" s="31"/>
    </row>
    <row r="87" customFormat="false" ht="15" hidden="false" customHeight="false" outlineLevel="0" collapsed="false">
      <c r="A87" s="48" t="s">
        <v>659</v>
      </c>
      <c r="B87" s="49" t="s">
        <v>660</v>
      </c>
      <c r="C87" s="50" t="s">
        <v>60</v>
      </c>
      <c r="D87" s="30" t="s">
        <v>61</v>
      </c>
      <c r="E87" s="30" t="s">
        <v>47</v>
      </c>
      <c r="F87" s="31" t="s">
        <v>661</v>
      </c>
      <c r="G87" s="31" t="s">
        <v>401</v>
      </c>
      <c r="H87" s="36" t="s">
        <v>104</v>
      </c>
      <c r="I87" s="31" t="s">
        <v>402</v>
      </c>
      <c r="J87" s="30" t="s">
        <v>662</v>
      </c>
      <c r="K87" s="30" t="s">
        <v>663</v>
      </c>
      <c r="L87" s="31" t="s">
        <v>664</v>
      </c>
      <c r="M87" s="31"/>
    </row>
    <row r="88" customFormat="false" ht="44" hidden="false" customHeight="false" outlineLevel="0" collapsed="false">
      <c r="A88" s="48" t="s">
        <v>665</v>
      </c>
      <c r="B88" s="49" t="s">
        <v>666</v>
      </c>
      <c r="C88" s="50" t="s">
        <v>60</v>
      </c>
      <c r="D88" s="30" t="s">
        <v>61</v>
      </c>
      <c r="E88" s="30" t="s">
        <v>47</v>
      </c>
      <c r="F88" s="31" t="s">
        <v>667</v>
      </c>
      <c r="G88" s="30" t="s">
        <v>668</v>
      </c>
      <c r="H88" s="32" t="s">
        <v>88</v>
      </c>
      <c r="I88" s="30" t="s">
        <v>669</v>
      </c>
      <c r="J88" s="30" t="s">
        <v>670</v>
      </c>
      <c r="K88" s="30" t="s">
        <v>671</v>
      </c>
      <c r="L88" s="31" t="s">
        <v>672</v>
      </c>
      <c r="M88" s="31"/>
    </row>
    <row r="89" customFormat="false" ht="23.85" hidden="false" customHeight="false" outlineLevel="0" collapsed="false">
      <c r="A89" s="48" t="s">
        <v>673</v>
      </c>
      <c r="B89" s="49" t="s">
        <v>674</v>
      </c>
      <c r="C89" s="50" t="s">
        <v>60</v>
      </c>
      <c r="D89" s="30" t="s">
        <v>61</v>
      </c>
      <c r="E89" s="30" t="s">
        <v>47</v>
      </c>
      <c r="F89" s="31" t="s">
        <v>675</v>
      </c>
      <c r="G89" s="30" t="s">
        <v>417</v>
      </c>
      <c r="H89" s="36" t="s">
        <v>104</v>
      </c>
      <c r="I89" s="30" t="s">
        <v>418</v>
      </c>
      <c r="J89" s="30" t="s">
        <v>676</v>
      </c>
      <c r="K89" s="31"/>
      <c r="L89" s="31" t="s">
        <v>677</v>
      </c>
      <c r="M89" s="31"/>
    </row>
    <row r="90" customFormat="false" ht="29.85" hidden="false" customHeight="false" outlineLevel="0" collapsed="false">
      <c r="A90" s="48" t="s">
        <v>678</v>
      </c>
      <c r="B90" s="49" t="s">
        <v>679</v>
      </c>
      <c r="C90" s="50" t="s">
        <v>60</v>
      </c>
      <c r="D90" s="30" t="s">
        <v>61</v>
      </c>
      <c r="E90" s="30" t="s">
        <v>47</v>
      </c>
      <c r="F90" s="31" t="s">
        <v>680</v>
      </c>
      <c r="G90" s="30" t="s">
        <v>169</v>
      </c>
      <c r="H90" s="36" t="s">
        <v>104</v>
      </c>
      <c r="I90" s="31"/>
      <c r="J90" s="30" t="s">
        <v>61</v>
      </c>
      <c r="K90" s="31"/>
      <c r="L90" s="31" t="s">
        <v>681</v>
      </c>
      <c r="M90" s="31"/>
    </row>
    <row r="91" customFormat="false" ht="15" hidden="false" customHeight="false" outlineLevel="0" collapsed="false">
      <c r="A91" s="48" t="s">
        <v>682</v>
      </c>
      <c r="B91" s="49" t="s">
        <v>683</v>
      </c>
      <c r="C91" s="50" t="s">
        <v>60</v>
      </c>
      <c r="D91" s="30" t="s">
        <v>61</v>
      </c>
      <c r="E91" s="30" t="s">
        <v>47</v>
      </c>
      <c r="F91" s="31" t="s">
        <v>684</v>
      </c>
      <c r="G91" s="30" t="s">
        <v>169</v>
      </c>
      <c r="H91" s="36" t="s">
        <v>104</v>
      </c>
      <c r="I91" s="31"/>
      <c r="J91" s="30" t="s">
        <v>640</v>
      </c>
      <c r="K91" s="30" t="s">
        <v>685</v>
      </c>
      <c r="L91" s="31" t="s">
        <v>686</v>
      </c>
      <c r="M91" s="31"/>
    </row>
    <row r="92" customFormat="false" ht="15" hidden="false" customHeight="false" outlineLevel="0" collapsed="false">
      <c r="A92" s="48" t="s">
        <v>687</v>
      </c>
      <c r="B92" s="49" t="s">
        <v>688</v>
      </c>
      <c r="C92" s="50" t="s">
        <v>60</v>
      </c>
      <c r="D92" s="30" t="s">
        <v>61</v>
      </c>
      <c r="E92" s="30" t="s">
        <v>47</v>
      </c>
      <c r="F92" s="31" t="s">
        <v>689</v>
      </c>
      <c r="G92" s="30" t="s">
        <v>169</v>
      </c>
      <c r="H92" s="36" t="s">
        <v>104</v>
      </c>
      <c r="I92" s="31"/>
      <c r="J92" s="30" t="s">
        <v>690</v>
      </c>
      <c r="K92" s="31"/>
      <c r="L92" s="31" t="s">
        <v>686</v>
      </c>
      <c r="M92" s="31"/>
    </row>
    <row r="93" customFormat="false" ht="15" hidden="false" customHeight="false" outlineLevel="0" collapsed="false">
      <c r="A93" s="48" t="s">
        <v>691</v>
      </c>
      <c r="B93" s="48" t="s">
        <v>692</v>
      </c>
      <c r="C93" s="50" t="s">
        <v>60</v>
      </c>
      <c r="D93" s="30" t="s">
        <v>61</v>
      </c>
      <c r="E93" s="30" t="s">
        <v>47</v>
      </c>
      <c r="F93" s="31" t="s">
        <v>693</v>
      </c>
      <c r="G93" s="31" t="s">
        <v>694</v>
      </c>
      <c r="H93" s="32" t="s">
        <v>88</v>
      </c>
      <c r="I93" s="30" t="s">
        <v>695</v>
      </c>
      <c r="J93" s="30" t="s">
        <v>696</v>
      </c>
      <c r="K93" s="30" t="s">
        <v>697</v>
      </c>
      <c r="L93" s="31" t="s">
        <v>698</v>
      </c>
      <c r="M93" s="31"/>
    </row>
    <row r="94" customFormat="false" ht="15" hidden="false" customHeight="false" outlineLevel="0" collapsed="false">
      <c r="A94" s="48" t="s">
        <v>699</v>
      </c>
      <c r="B94" s="49" t="s">
        <v>700</v>
      </c>
      <c r="C94" s="50" t="s">
        <v>60</v>
      </c>
      <c r="D94" s="30" t="s">
        <v>61</v>
      </c>
      <c r="E94" s="30" t="s">
        <v>47</v>
      </c>
      <c r="F94" s="31" t="s">
        <v>701</v>
      </c>
      <c r="G94" s="30" t="s">
        <v>169</v>
      </c>
      <c r="H94" s="36" t="s">
        <v>104</v>
      </c>
      <c r="I94" s="31"/>
      <c r="J94" s="30" t="s">
        <v>702</v>
      </c>
      <c r="K94" s="30" t="s">
        <v>703</v>
      </c>
      <c r="L94" s="31" t="s">
        <v>704</v>
      </c>
      <c r="M94" s="31"/>
    </row>
    <row r="95" customFormat="false" ht="15" hidden="false" customHeight="false" outlineLevel="0" collapsed="false">
      <c r="A95" s="48" t="s">
        <v>705</v>
      </c>
      <c r="B95" s="49" t="s">
        <v>706</v>
      </c>
      <c r="C95" s="50" t="s">
        <v>60</v>
      </c>
      <c r="D95" s="30" t="s">
        <v>61</v>
      </c>
      <c r="E95" s="30" t="s">
        <v>47</v>
      </c>
      <c r="F95" s="31" t="s">
        <v>707</v>
      </c>
      <c r="G95" s="30" t="s">
        <v>708</v>
      </c>
      <c r="H95" s="36" t="s">
        <v>104</v>
      </c>
      <c r="I95" s="31"/>
      <c r="J95" s="30" t="s">
        <v>690</v>
      </c>
      <c r="K95" s="31"/>
      <c r="L95" s="31" t="s">
        <v>709</v>
      </c>
      <c r="M95" s="31"/>
    </row>
    <row r="96" customFormat="false" ht="15" hidden="false" customHeight="false" outlineLevel="0" collapsed="false">
      <c r="A96" s="48" t="s">
        <v>710</v>
      </c>
      <c r="B96" s="48" t="s">
        <v>711</v>
      </c>
      <c r="C96" s="50" t="s">
        <v>60</v>
      </c>
      <c r="D96" s="30" t="s">
        <v>61</v>
      </c>
      <c r="E96" s="30" t="s">
        <v>47</v>
      </c>
      <c r="F96" s="31" t="s">
        <v>712</v>
      </c>
      <c r="G96" s="30" t="s">
        <v>169</v>
      </c>
      <c r="H96" s="36" t="s">
        <v>104</v>
      </c>
      <c r="I96" s="31"/>
      <c r="J96" s="30" t="s">
        <v>640</v>
      </c>
      <c r="K96" s="30" t="s">
        <v>713</v>
      </c>
      <c r="L96" s="31" t="s">
        <v>709</v>
      </c>
      <c r="M96" s="31"/>
    </row>
    <row r="97" customFormat="false" ht="15" hidden="false" customHeight="false" outlineLevel="0" collapsed="false">
      <c r="A97" s="48" t="s">
        <v>714</v>
      </c>
      <c r="B97" s="49" t="s">
        <v>715</v>
      </c>
      <c r="C97" s="50" t="s">
        <v>60</v>
      </c>
      <c r="D97" s="30" t="s">
        <v>61</v>
      </c>
      <c r="E97" s="30" t="s">
        <v>47</v>
      </c>
      <c r="F97" s="31" t="s">
        <v>716</v>
      </c>
      <c r="G97" s="30" t="s">
        <v>162</v>
      </c>
      <c r="H97" s="32" t="s">
        <v>88</v>
      </c>
      <c r="I97" s="30" t="s">
        <v>717</v>
      </c>
      <c r="J97" s="30" t="s">
        <v>640</v>
      </c>
      <c r="K97" s="31"/>
      <c r="L97" s="31" t="s">
        <v>718</v>
      </c>
      <c r="M97" s="31"/>
    </row>
    <row r="98" customFormat="false" ht="15" hidden="false" customHeight="false" outlineLevel="0" collapsed="false">
      <c r="A98" s="48" t="s">
        <v>719</v>
      </c>
      <c r="B98" s="49" t="s">
        <v>720</v>
      </c>
      <c r="C98" s="50" t="s">
        <v>60</v>
      </c>
      <c r="D98" s="30" t="s">
        <v>61</v>
      </c>
      <c r="E98" s="30" t="s">
        <v>47</v>
      </c>
      <c r="F98" s="31" t="s">
        <v>721</v>
      </c>
      <c r="G98" s="30" t="s">
        <v>722</v>
      </c>
      <c r="H98" s="36" t="s">
        <v>104</v>
      </c>
      <c r="I98" s="30" t="s">
        <v>723</v>
      </c>
      <c r="J98" s="30" t="s">
        <v>690</v>
      </c>
      <c r="K98" s="31"/>
      <c r="L98" s="31" t="s">
        <v>724</v>
      </c>
      <c r="M98" s="31"/>
    </row>
    <row r="99" customFormat="false" ht="15" hidden="false" customHeight="false" outlineLevel="0" collapsed="false">
      <c r="A99" s="48" t="s">
        <v>725</v>
      </c>
      <c r="B99" s="49" t="s">
        <v>726</v>
      </c>
      <c r="C99" s="50" t="s">
        <v>60</v>
      </c>
      <c r="D99" s="30" t="s">
        <v>61</v>
      </c>
      <c r="E99" s="30" t="s">
        <v>47</v>
      </c>
      <c r="F99" s="31" t="s">
        <v>727</v>
      </c>
      <c r="G99" s="30" t="s">
        <v>169</v>
      </c>
      <c r="H99" s="36" t="s">
        <v>104</v>
      </c>
      <c r="I99" s="31"/>
      <c r="J99" s="30" t="s">
        <v>640</v>
      </c>
      <c r="K99" s="31"/>
      <c r="L99" s="31" t="s">
        <v>709</v>
      </c>
      <c r="M99" s="31"/>
    </row>
    <row r="100" customFormat="false" ht="15" hidden="false" customHeight="false" outlineLevel="0" collapsed="false">
      <c r="A100" s="48" t="s">
        <v>728</v>
      </c>
      <c r="B100" s="49" t="s">
        <v>729</v>
      </c>
      <c r="C100" s="50" t="s">
        <v>60</v>
      </c>
      <c r="D100" s="30" t="s">
        <v>61</v>
      </c>
      <c r="E100" s="30" t="s">
        <v>47</v>
      </c>
      <c r="F100" s="31" t="s">
        <v>730</v>
      </c>
      <c r="G100" s="30" t="s">
        <v>169</v>
      </c>
      <c r="H100" s="36" t="s">
        <v>104</v>
      </c>
      <c r="I100" s="31"/>
      <c r="J100" s="30" t="s">
        <v>670</v>
      </c>
      <c r="K100" s="30" t="s">
        <v>731</v>
      </c>
      <c r="L100" s="31" t="s">
        <v>709</v>
      </c>
      <c r="M100" s="31"/>
    </row>
    <row r="101" customFormat="false" ht="41" hidden="false" customHeight="false" outlineLevel="0" collapsed="false">
      <c r="A101" s="51" t="s">
        <v>732</v>
      </c>
      <c r="B101" s="52" t="s">
        <v>733</v>
      </c>
      <c r="C101" s="53" t="s">
        <v>63</v>
      </c>
      <c r="D101" s="30" t="s">
        <v>64</v>
      </c>
      <c r="E101" s="31" t="s">
        <v>21</v>
      </c>
      <c r="F101" s="31" t="s">
        <v>734</v>
      </c>
      <c r="G101" s="30" t="s">
        <v>169</v>
      </c>
      <c r="H101" s="36" t="s">
        <v>104</v>
      </c>
      <c r="I101" s="31"/>
      <c r="J101" s="30" t="s">
        <v>735</v>
      </c>
      <c r="K101" s="31"/>
      <c r="L101" s="31" t="s">
        <v>736</v>
      </c>
      <c r="M101" s="31"/>
    </row>
    <row r="102" customFormat="false" ht="15" hidden="false" customHeight="false" outlineLevel="0" collapsed="false">
      <c r="A102" s="51" t="s">
        <v>737</v>
      </c>
      <c r="B102" s="52" t="s">
        <v>738</v>
      </c>
      <c r="C102" s="53" t="s">
        <v>63</v>
      </c>
      <c r="D102" s="30" t="s">
        <v>64</v>
      </c>
      <c r="E102" s="31" t="s">
        <v>21</v>
      </c>
      <c r="F102" s="31" t="s">
        <v>739</v>
      </c>
      <c r="G102" s="30" t="s">
        <v>312</v>
      </c>
      <c r="H102" s="32" t="s">
        <v>88</v>
      </c>
      <c r="I102" s="31"/>
      <c r="J102" s="30" t="s">
        <v>735</v>
      </c>
      <c r="K102" s="30" t="s">
        <v>740</v>
      </c>
      <c r="L102" s="31" t="s">
        <v>741</v>
      </c>
      <c r="M102" s="31"/>
    </row>
    <row r="103" customFormat="false" ht="23.85" hidden="false" customHeight="false" outlineLevel="0" collapsed="false">
      <c r="A103" s="51" t="s">
        <v>742</v>
      </c>
      <c r="B103" s="52" t="s">
        <v>743</v>
      </c>
      <c r="C103" s="53" t="s">
        <v>63</v>
      </c>
      <c r="D103" s="30" t="s">
        <v>64</v>
      </c>
      <c r="E103" s="31" t="s">
        <v>21</v>
      </c>
      <c r="F103" s="31" t="s">
        <v>744</v>
      </c>
      <c r="G103" s="30" t="s">
        <v>162</v>
      </c>
      <c r="H103" s="32" t="s">
        <v>88</v>
      </c>
      <c r="I103" s="30" t="s">
        <v>745</v>
      </c>
      <c r="J103" s="30" t="s">
        <v>746</v>
      </c>
      <c r="K103" s="30" t="s">
        <v>747</v>
      </c>
      <c r="L103" s="31" t="s">
        <v>748</v>
      </c>
      <c r="M103" s="31"/>
    </row>
    <row r="104" customFormat="false" ht="26.85" hidden="false" customHeight="false" outlineLevel="0" collapsed="false">
      <c r="A104" s="51" t="s">
        <v>749</v>
      </c>
      <c r="B104" s="52" t="s">
        <v>750</v>
      </c>
      <c r="C104" s="53" t="s">
        <v>63</v>
      </c>
      <c r="D104" s="30" t="s">
        <v>64</v>
      </c>
      <c r="E104" s="31" t="s">
        <v>21</v>
      </c>
      <c r="F104" s="31" t="s">
        <v>751</v>
      </c>
      <c r="G104" s="30" t="s">
        <v>162</v>
      </c>
      <c r="H104" s="32" t="s">
        <v>88</v>
      </c>
      <c r="I104" s="30" t="s">
        <v>752</v>
      </c>
      <c r="J104" s="30" t="s">
        <v>753</v>
      </c>
      <c r="K104" s="30" t="s">
        <v>754</v>
      </c>
      <c r="L104" s="31" t="s">
        <v>755</v>
      </c>
      <c r="M104" s="31"/>
    </row>
    <row r="105" customFormat="false" ht="72.35" hidden="false" customHeight="false" outlineLevel="0" collapsed="false">
      <c r="A105" s="51" t="s">
        <v>756</v>
      </c>
      <c r="B105" s="52" t="s">
        <v>757</v>
      </c>
      <c r="C105" s="53" t="s">
        <v>63</v>
      </c>
      <c r="D105" s="30" t="s">
        <v>64</v>
      </c>
      <c r="E105" s="31" t="s">
        <v>21</v>
      </c>
      <c r="F105" s="31" t="s">
        <v>758</v>
      </c>
      <c r="G105" s="30" t="s">
        <v>759</v>
      </c>
      <c r="H105" s="36" t="s">
        <v>104</v>
      </c>
      <c r="I105" s="30" t="s">
        <v>760</v>
      </c>
      <c r="J105" s="30" t="s">
        <v>761</v>
      </c>
      <c r="K105" s="30" t="s">
        <v>762</v>
      </c>
      <c r="L105" s="31" t="s">
        <v>763</v>
      </c>
      <c r="M105" s="31"/>
    </row>
    <row r="106" customFormat="false" ht="35.05" hidden="false" customHeight="false" outlineLevel="0" collapsed="false">
      <c r="A106" s="51" t="s">
        <v>764</v>
      </c>
      <c r="B106" s="52" t="s">
        <v>765</v>
      </c>
      <c r="C106" s="53" t="s">
        <v>63</v>
      </c>
      <c r="D106" s="30" t="s">
        <v>64</v>
      </c>
      <c r="E106" s="31" t="s">
        <v>21</v>
      </c>
      <c r="F106" s="31" t="s">
        <v>766</v>
      </c>
      <c r="G106" s="30" t="s">
        <v>169</v>
      </c>
      <c r="H106" s="36" t="s">
        <v>104</v>
      </c>
      <c r="I106" s="31"/>
      <c r="J106" s="30" t="s">
        <v>767</v>
      </c>
      <c r="K106" s="31"/>
      <c r="L106" s="31" t="s">
        <v>768</v>
      </c>
      <c r="M106" s="31"/>
    </row>
    <row r="107" customFormat="false" ht="29.85" hidden="false" customHeight="false" outlineLevel="0" collapsed="false">
      <c r="A107" s="51" t="s">
        <v>769</v>
      </c>
      <c r="B107" s="52" t="s">
        <v>770</v>
      </c>
      <c r="C107" s="53" t="s">
        <v>63</v>
      </c>
      <c r="D107" s="30" t="s">
        <v>64</v>
      </c>
      <c r="E107" s="31" t="s">
        <v>21</v>
      </c>
      <c r="F107" s="31" t="s">
        <v>771</v>
      </c>
      <c r="G107" s="30" t="s">
        <v>312</v>
      </c>
      <c r="H107" s="32" t="s">
        <v>88</v>
      </c>
      <c r="I107" s="30" t="s">
        <v>772</v>
      </c>
      <c r="J107" s="30" t="s">
        <v>767</v>
      </c>
      <c r="K107" s="31"/>
      <c r="L107" s="31" t="s">
        <v>773</v>
      </c>
      <c r="M107" s="31"/>
    </row>
    <row r="108" customFormat="false" ht="35.05" hidden="false" customHeight="false" outlineLevel="0" collapsed="false">
      <c r="A108" s="51" t="s">
        <v>774</v>
      </c>
      <c r="B108" s="52" t="s">
        <v>775</v>
      </c>
      <c r="C108" s="53" t="s">
        <v>63</v>
      </c>
      <c r="D108" s="30" t="s">
        <v>64</v>
      </c>
      <c r="E108" s="31" t="s">
        <v>21</v>
      </c>
      <c r="F108" s="31" t="s">
        <v>776</v>
      </c>
      <c r="G108" s="30" t="s">
        <v>775</v>
      </c>
      <c r="H108" s="32" t="s">
        <v>88</v>
      </c>
      <c r="I108" s="30" t="s">
        <v>777</v>
      </c>
      <c r="J108" s="30" t="s">
        <v>778</v>
      </c>
      <c r="K108" s="31"/>
      <c r="L108" s="31" t="s">
        <v>779</v>
      </c>
      <c r="M108" s="31"/>
    </row>
    <row r="109" customFormat="false" ht="58.2" hidden="false" customHeight="false" outlineLevel="0" collapsed="false">
      <c r="A109" s="51" t="s">
        <v>780</v>
      </c>
      <c r="B109" s="52" t="s">
        <v>781</v>
      </c>
      <c r="C109" s="53" t="s">
        <v>63</v>
      </c>
      <c r="D109" s="30" t="s">
        <v>64</v>
      </c>
      <c r="E109" s="31" t="s">
        <v>21</v>
      </c>
      <c r="F109" s="31" t="s">
        <v>782</v>
      </c>
      <c r="G109" s="30" t="s">
        <v>783</v>
      </c>
      <c r="H109" s="32" t="s">
        <v>88</v>
      </c>
      <c r="I109" s="31"/>
      <c r="J109" s="30" t="s">
        <v>784</v>
      </c>
      <c r="K109" s="30" t="s">
        <v>785</v>
      </c>
      <c r="L109" s="31" t="s">
        <v>786</v>
      </c>
      <c r="M109" s="31"/>
    </row>
    <row r="110" customFormat="false" ht="15" hidden="false" customHeight="false" outlineLevel="0" collapsed="false">
      <c r="A110" s="51" t="s">
        <v>787</v>
      </c>
      <c r="B110" s="52" t="s">
        <v>788</v>
      </c>
      <c r="C110" s="53" t="s">
        <v>63</v>
      </c>
      <c r="D110" s="30" t="s">
        <v>64</v>
      </c>
      <c r="E110" s="31" t="s">
        <v>21</v>
      </c>
      <c r="F110" s="31" t="s">
        <v>789</v>
      </c>
      <c r="G110" s="30" t="s">
        <v>790</v>
      </c>
      <c r="H110" s="32" t="s">
        <v>88</v>
      </c>
      <c r="I110" s="31"/>
      <c r="J110" s="30" t="s">
        <v>761</v>
      </c>
      <c r="K110" s="31"/>
      <c r="L110" s="31" t="s">
        <v>791</v>
      </c>
      <c r="M110" s="31"/>
    </row>
    <row r="111" customFormat="false" ht="15" hidden="false" customHeight="false" outlineLevel="0" collapsed="false">
      <c r="A111" s="51" t="s">
        <v>792</v>
      </c>
      <c r="B111" s="52" t="s">
        <v>793</v>
      </c>
      <c r="C111" s="53" t="s">
        <v>63</v>
      </c>
      <c r="D111" s="30" t="s">
        <v>64</v>
      </c>
      <c r="E111" s="31" t="s">
        <v>21</v>
      </c>
      <c r="F111" s="31" t="s">
        <v>794</v>
      </c>
      <c r="G111" s="30" t="s">
        <v>795</v>
      </c>
      <c r="H111" s="36" t="s">
        <v>104</v>
      </c>
      <c r="I111" s="31"/>
      <c r="J111" s="30" t="s">
        <v>735</v>
      </c>
      <c r="K111" s="31"/>
      <c r="L111" s="31" t="s">
        <v>796</v>
      </c>
      <c r="M111" s="31"/>
    </row>
    <row r="112" customFormat="false" ht="15" hidden="false" customHeight="false" outlineLevel="0" collapsed="false">
      <c r="A112" s="51" t="s">
        <v>797</v>
      </c>
      <c r="B112" s="52" t="s">
        <v>798</v>
      </c>
      <c r="C112" s="53" t="s">
        <v>63</v>
      </c>
      <c r="D112" s="30" t="s">
        <v>64</v>
      </c>
      <c r="E112" s="31" t="s">
        <v>21</v>
      </c>
      <c r="F112" s="31" t="s">
        <v>799</v>
      </c>
      <c r="G112" s="30" t="s">
        <v>169</v>
      </c>
      <c r="H112" s="36" t="s">
        <v>104</v>
      </c>
      <c r="I112" s="31"/>
      <c r="J112" s="30" t="s">
        <v>735</v>
      </c>
      <c r="K112" s="30" t="s">
        <v>800</v>
      </c>
      <c r="L112" s="31" t="s">
        <v>801</v>
      </c>
      <c r="M112" s="31"/>
    </row>
    <row r="113" customFormat="false" ht="23.85" hidden="false" customHeight="false" outlineLevel="0" collapsed="false">
      <c r="A113" s="51" t="s">
        <v>802</v>
      </c>
      <c r="B113" s="52" t="s">
        <v>803</v>
      </c>
      <c r="C113" s="53" t="s">
        <v>63</v>
      </c>
      <c r="D113" s="30" t="s">
        <v>64</v>
      </c>
      <c r="E113" s="31" t="s">
        <v>21</v>
      </c>
      <c r="F113" s="31" t="s">
        <v>804</v>
      </c>
      <c r="G113" s="30" t="s">
        <v>169</v>
      </c>
      <c r="H113" s="36" t="s">
        <v>104</v>
      </c>
      <c r="I113" s="31"/>
      <c r="J113" s="30" t="s">
        <v>735</v>
      </c>
      <c r="K113" s="31"/>
      <c r="L113" s="31" t="s">
        <v>805</v>
      </c>
      <c r="M113" s="31"/>
    </row>
    <row r="114" customFormat="false" ht="15" hidden="false" customHeight="false" outlineLevel="0" collapsed="false">
      <c r="A114" s="54" t="s">
        <v>806</v>
      </c>
      <c r="B114" s="55" t="s">
        <v>807</v>
      </c>
      <c r="C114" s="56" t="s">
        <v>67</v>
      </c>
      <c r="D114" s="30" t="s">
        <v>68</v>
      </c>
      <c r="E114" s="31" t="s">
        <v>21</v>
      </c>
      <c r="F114" s="31" t="s">
        <v>808</v>
      </c>
      <c r="G114" s="31" t="s">
        <v>694</v>
      </c>
      <c r="H114" s="32" t="s">
        <v>88</v>
      </c>
      <c r="I114" s="30" t="s">
        <v>809</v>
      </c>
      <c r="J114" s="30" t="s">
        <v>810</v>
      </c>
      <c r="K114" s="31" t="s">
        <v>811</v>
      </c>
      <c r="L114" s="31" t="s">
        <v>812</v>
      </c>
      <c r="M114" s="31"/>
    </row>
    <row r="115" customFormat="false" ht="15" hidden="false" customHeight="false" outlineLevel="0" collapsed="false">
      <c r="A115" s="54" t="s">
        <v>813</v>
      </c>
      <c r="B115" s="55" t="s">
        <v>814</v>
      </c>
      <c r="C115" s="56" t="s">
        <v>67</v>
      </c>
      <c r="D115" s="30" t="s">
        <v>68</v>
      </c>
      <c r="E115" s="31" t="s">
        <v>21</v>
      </c>
      <c r="F115" s="31" t="s">
        <v>815</v>
      </c>
      <c r="G115" s="30" t="s">
        <v>162</v>
      </c>
      <c r="H115" s="32" t="s">
        <v>88</v>
      </c>
      <c r="I115" s="31"/>
      <c r="J115" s="30" t="s">
        <v>816</v>
      </c>
      <c r="K115" s="31"/>
      <c r="L115" s="31" t="s">
        <v>817</v>
      </c>
      <c r="M115" s="31"/>
    </row>
    <row r="116" customFormat="false" ht="15" hidden="false" customHeight="false" outlineLevel="0" collapsed="false">
      <c r="A116" s="54" t="s">
        <v>818</v>
      </c>
      <c r="B116" s="55" t="s">
        <v>819</v>
      </c>
      <c r="C116" s="56" t="s">
        <v>67</v>
      </c>
      <c r="D116" s="30" t="s">
        <v>68</v>
      </c>
      <c r="E116" s="31" t="s">
        <v>21</v>
      </c>
      <c r="F116" s="31" t="s">
        <v>820</v>
      </c>
      <c r="G116" s="30" t="s">
        <v>821</v>
      </c>
      <c r="H116" s="32" t="s">
        <v>88</v>
      </c>
      <c r="I116" s="31"/>
      <c r="J116" s="30" t="s">
        <v>822</v>
      </c>
      <c r="K116" s="30" t="s">
        <v>823</v>
      </c>
      <c r="L116" s="31" t="s">
        <v>824</v>
      </c>
      <c r="M116" s="31"/>
    </row>
    <row r="117" customFormat="false" ht="29.85" hidden="false" customHeight="false" outlineLevel="0" collapsed="false">
      <c r="A117" s="54" t="s">
        <v>825</v>
      </c>
      <c r="B117" s="55" t="s">
        <v>826</v>
      </c>
      <c r="C117" s="56" t="s">
        <v>67</v>
      </c>
      <c r="D117" s="30" t="s">
        <v>68</v>
      </c>
      <c r="E117" s="31" t="s">
        <v>21</v>
      </c>
      <c r="F117" s="31" t="s">
        <v>827</v>
      </c>
      <c r="G117" s="30" t="s">
        <v>828</v>
      </c>
      <c r="H117" s="36" t="s">
        <v>104</v>
      </c>
      <c r="I117" s="31"/>
      <c r="J117" s="30" t="s">
        <v>829</v>
      </c>
      <c r="K117" s="30" t="s">
        <v>830</v>
      </c>
      <c r="L117" s="31" t="s">
        <v>831</v>
      </c>
      <c r="M117" s="31"/>
    </row>
    <row r="118" customFormat="false" ht="15" hidden="false" customHeight="false" outlineLevel="0" collapsed="false">
      <c r="A118" s="33" t="s">
        <v>832</v>
      </c>
      <c r="B118" s="34" t="s">
        <v>833</v>
      </c>
      <c r="C118" s="35" t="s">
        <v>22</v>
      </c>
      <c r="D118" s="30" t="s">
        <v>23</v>
      </c>
      <c r="E118" s="30" t="s">
        <v>25</v>
      </c>
      <c r="F118" s="31" t="s">
        <v>834</v>
      </c>
      <c r="G118" s="30" t="s">
        <v>197</v>
      </c>
      <c r="H118" s="36" t="s">
        <v>104</v>
      </c>
      <c r="I118" s="31"/>
      <c r="J118" s="30" t="s">
        <v>835</v>
      </c>
      <c r="K118" s="30" t="s">
        <v>836</v>
      </c>
      <c r="L118" s="31" t="s">
        <v>837</v>
      </c>
      <c r="M118" s="31"/>
    </row>
    <row r="119" customFormat="false" ht="15" hidden="false" customHeight="false" outlineLevel="0" collapsed="false">
      <c r="A119" s="42" t="s">
        <v>838</v>
      </c>
      <c r="B119" s="43" t="s">
        <v>839</v>
      </c>
      <c r="C119" s="44" t="s">
        <v>44</v>
      </c>
      <c r="D119" s="30" t="s">
        <v>45</v>
      </c>
      <c r="E119" s="30" t="s">
        <v>47</v>
      </c>
      <c r="F119" s="31" t="s">
        <v>840</v>
      </c>
      <c r="G119" s="30" t="s">
        <v>197</v>
      </c>
      <c r="H119" s="36" t="s">
        <v>104</v>
      </c>
      <c r="I119" s="31"/>
      <c r="J119" s="30" t="s">
        <v>841</v>
      </c>
      <c r="K119" s="30" t="s">
        <v>842</v>
      </c>
      <c r="L119" s="31" t="s">
        <v>843</v>
      </c>
      <c r="M119" s="31"/>
    </row>
    <row r="120" customFormat="false" ht="23.85" hidden="false" customHeight="false" outlineLevel="0" collapsed="false">
      <c r="A120" s="45" t="s">
        <v>844</v>
      </c>
      <c r="B120" s="46" t="s">
        <v>845</v>
      </c>
      <c r="C120" s="47" t="s">
        <v>56</v>
      </c>
      <c r="D120" s="30" t="s">
        <v>57</v>
      </c>
      <c r="E120" s="30" t="s">
        <v>47</v>
      </c>
      <c r="F120" s="31" t="s">
        <v>846</v>
      </c>
      <c r="G120" s="30" t="s">
        <v>353</v>
      </c>
      <c r="H120" s="36" t="s">
        <v>104</v>
      </c>
      <c r="I120" s="31"/>
      <c r="J120" s="30" t="s">
        <v>59</v>
      </c>
      <c r="K120" s="30" t="s">
        <v>847</v>
      </c>
      <c r="L120" s="31" t="s">
        <v>468</v>
      </c>
      <c r="M120" s="31"/>
    </row>
  </sheetData>
  <autoFilter ref="A1:M1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52"/>
    <col collapsed="false" customWidth="true" hidden="false" outlineLevel="0" max="8" min="8" style="0" width="56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36"/>
  </cols>
  <sheetData>
    <row r="1" customFormat="false" ht="30" hidden="false" customHeight="true" outlineLevel="0" collapsed="false">
      <c r="A1" s="7" t="s">
        <v>848</v>
      </c>
      <c r="B1" s="6" t="s">
        <v>849</v>
      </c>
      <c r="C1" s="6" t="s">
        <v>850</v>
      </c>
      <c r="D1" s="6" t="s">
        <v>851</v>
      </c>
      <c r="E1" s="7" t="s">
        <v>852</v>
      </c>
      <c r="F1" s="6" t="s">
        <v>75</v>
      </c>
      <c r="G1" s="6" t="s">
        <v>853</v>
      </c>
      <c r="H1" s="7" t="s">
        <v>854</v>
      </c>
      <c r="I1" s="6" t="s">
        <v>855</v>
      </c>
      <c r="J1" s="6" t="s">
        <v>856</v>
      </c>
      <c r="K1" s="6" t="s">
        <v>83</v>
      </c>
    </row>
    <row r="2" customFormat="false" ht="29.85" hidden="false" customHeight="false" outlineLevel="0" collapsed="false">
      <c r="A2" s="31" t="n">
        <v>1</v>
      </c>
      <c r="B2" s="31" t="s">
        <v>857</v>
      </c>
      <c r="C2" s="31" t="s">
        <v>858</v>
      </c>
      <c r="D2" s="30" t="s">
        <v>26</v>
      </c>
      <c r="E2" s="31" t="s">
        <v>859</v>
      </c>
      <c r="F2" s="30" t="s">
        <v>25</v>
      </c>
      <c r="G2" s="30" t="s">
        <v>860</v>
      </c>
      <c r="H2" s="31" t="s">
        <v>861</v>
      </c>
      <c r="I2" s="31" t="s">
        <v>187</v>
      </c>
      <c r="J2" s="31" t="s">
        <v>88</v>
      </c>
      <c r="K2" s="31"/>
    </row>
    <row r="3" customFormat="false" ht="72.35" hidden="false" customHeight="false" outlineLevel="0" collapsed="false">
      <c r="A3" s="31" t="n">
        <v>2</v>
      </c>
      <c r="B3" s="31" t="s">
        <v>862</v>
      </c>
      <c r="C3" s="31" t="s">
        <v>863</v>
      </c>
      <c r="D3" s="30" t="s">
        <v>66</v>
      </c>
      <c r="E3" s="31" t="s">
        <v>864</v>
      </c>
      <c r="F3" s="30" t="s">
        <v>66</v>
      </c>
      <c r="G3" s="30" t="s">
        <v>865</v>
      </c>
      <c r="H3" s="31" t="s">
        <v>866</v>
      </c>
      <c r="I3" s="31" t="s">
        <v>867</v>
      </c>
      <c r="J3" s="31" t="s">
        <v>88</v>
      </c>
      <c r="K3" s="31"/>
    </row>
    <row r="4" customFormat="false" ht="72.35" hidden="false" customHeight="false" outlineLevel="0" collapsed="false">
      <c r="A4" s="31" t="n">
        <v>3</v>
      </c>
      <c r="B4" s="31" t="s">
        <v>868</v>
      </c>
      <c r="C4" s="31" t="s">
        <v>869</v>
      </c>
      <c r="D4" s="30" t="s">
        <v>870</v>
      </c>
      <c r="E4" s="31" t="s">
        <v>871</v>
      </c>
      <c r="F4" s="30" t="s">
        <v>872</v>
      </c>
      <c r="G4" s="30" t="s">
        <v>873</v>
      </c>
      <c r="H4" s="31" t="s">
        <v>874</v>
      </c>
      <c r="I4" s="31" t="s">
        <v>875</v>
      </c>
      <c r="J4" s="31" t="s">
        <v>88</v>
      </c>
      <c r="K4" s="31"/>
    </row>
    <row r="5" customFormat="false" ht="58.2" hidden="false" customHeight="false" outlineLevel="0" collapsed="false">
      <c r="A5" s="31" t="n">
        <v>4</v>
      </c>
      <c r="B5" s="31" t="s">
        <v>876</v>
      </c>
      <c r="C5" s="31" t="s">
        <v>877</v>
      </c>
      <c r="D5" s="30" t="s">
        <v>61</v>
      </c>
      <c r="E5" s="31" t="s">
        <v>62</v>
      </c>
      <c r="F5" s="30" t="s">
        <v>47</v>
      </c>
      <c r="G5" s="30" t="s">
        <v>878</v>
      </c>
      <c r="H5" s="31" t="s">
        <v>879</v>
      </c>
      <c r="I5" s="31" t="s">
        <v>880</v>
      </c>
      <c r="J5" s="31" t="s">
        <v>104</v>
      </c>
      <c r="K5" s="31"/>
    </row>
    <row r="6" customFormat="false" ht="72.35" hidden="false" customHeight="false" outlineLevel="0" collapsed="false">
      <c r="A6" s="31" t="n">
        <v>5</v>
      </c>
      <c r="B6" s="31" t="s">
        <v>881</v>
      </c>
      <c r="C6" s="31" t="s">
        <v>863</v>
      </c>
      <c r="D6" s="30" t="s">
        <v>26</v>
      </c>
      <c r="E6" s="31" t="s">
        <v>859</v>
      </c>
      <c r="F6" s="30" t="s">
        <v>25</v>
      </c>
      <c r="G6" s="30" t="s">
        <v>882</v>
      </c>
      <c r="H6" s="31" t="s">
        <v>883</v>
      </c>
      <c r="I6" s="31" t="s">
        <v>884</v>
      </c>
      <c r="J6" s="31" t="s">
        <v>104</v>
      </c>
      <c r="K6" s="31"/>
    </row>
    <row r="7" customFormat="false" ht="72.35" hidden="false" customHeight="false" outlineLevel="0" collapsed="false">
      <c r="A7" s="31" t="n">
        <v>6</v>
      </c>
      <c r="B7" s="31" t="s">
        <v>885</v>
      </c>
      <c r="C7" s="31" t="s">
        <v>869</v>
      </c>
      <c r="D7" s="30" t="s">
        <v>40</v>
      </c>
      <c r="E7" s="31" t="s">
        <v>886</v>
      </c>
      <c r="F7" s="30" t="s">
        <v>25</v>
      </c>
      <c r="G7" s="30" t="s">
        <v>887</v>
      </c>
      <c r="H7" s="31" t="s">
        <v>888</v>
      </c>
      <c r="I7" s="31" t="s">
        <v>889</v>
      </c>
      <c r="J7" s="31" t="s">
        <v>88</v>
      </c>
      <c r="K7" s="31"/>
    </row>
    <row r="8" customFormat="false" ht="29.85" hidden="false" customHeight="false" outlineLevel="0" collapsed="false">
      <c r="A8" s="31" t="n">
        <v>7</v>
      </c>
      <c r="B8" s="31" t="s">
        <v>890</v>
      </c>
      <c r="C8" s="31" t="s">
        <v>891</v>
      </c>
      <c r="D8" s="30" t="s">
        <v>36</v>
      </c>
      <c r="E8" s="31" t="s">
        <v>892</v>
      </c>
      <c r="F8" s="30" t="s">
        <v>25</v>
      </c>
      <c r="G8" s="30" t="s">
        <v>893</v>
      </c>
      <c r="H8" s="31" t="s">
        <v>894</v>
      </c>
      <c r="I8" s="31" t="s">
        <v>322</v>
      </c>
      <c r="J8" s="31" t="s">
        <v>88</v>
      </c>
      <c r="K8" s="31"/>
    </row>
    <row r="9" customFormat="false" ht="35.05" hidden="false" customHeight="false" outlineLevel="0" collapsed="false">
      <c r="A9" s="31" t="n">
        <v>8</v>
      </c>
      <c r="B9" s="31" t="s">
        <v>895</v>
      </c>
      <c r="C9" s="31" t="s">
        <v>891</v>
      </c>
      <c r="D9" s="30" t="s">
        <v>36</v>
      </c>
      <c r="E9" s="31" t="s">
        <v>892</v>
      </c>
      <c r="F9" s="30" t="s">
        <v>25</v>
      </c>
      <c r="G9" s="30" t="s">
        <v>896</v>
      </c>
      <c r="H9" s="31" t="s">
        <v>897</v>
      </c>
      <c r="I9" s="31" t="s">
        <v>322</v>
      </c>
      <c r="J9" s="31" t="s">
        <v>88</v>
      </c>
      <c r="K9" s="31"/>
    </row>
    <row r="10" customFormat="false" ht="29.85" hidden="false" customHeight="false" outlineLevel="0" collapsed="false">
      <c r="A10" s="31" t="n">
        <v>9</v>
      </c>
      <c r="B10" s="31" t="s">
        <v>898</v>
      </c>
      <c r="C10" s="31" t="s">
        <v>863</v>
      </c>
      <c r="D10" s="30" t="s">
        <v>26</v>
      </c>
      <c r="E10" s="31" t="s">
        <v>859</v>
      </c>
      <c r="F10" s="30" t="s">
        <v>25</v>
      </c>
      <c r="G10" s="30" t="s">
        <v>899</v>
      </c>
      <c r="H10" s="31" t="s">
        <v>900</v>
      </c>
      <c r="I10" s="31" t="s">
        <v>100</v>
      </c>
      <c r="J10" s="31" t="s">
        <v>104</v>
      </c>
      <c r="K10" s="31"/>
    </row>
    <row r="11" customFormat="false" ht="44" hidden="false" customHeight="false" outlineLevel="0" collapsed="false">
      <c r="A11" s="31" t="n">
        <v>10</v>
      </c>
      <c r="B11" s="31" t="s">
        <v>901</v>
      </c>
      <c r="C11" s="31" t="s">
        <v>902</v>
      </c>
      <c r="D11" s="30" t="s">
        <v>26</v>
      </c>
      <c r="E11" s="31" t="s">
        <v>859</v>
      </c>
      <c r="F11" s="30" t="s">
        <v>25</v>
      </c>
      <c r="G11" s="30" t="s">
        <v>903</v>
      </c>
      <c r="H11" s="31" t="s">
        <v>904</v>
      </c>
      <c r="I11" s="31" t="s">
        <v>905</v>
      </c>
      <c r="J11" s="31" t="s">
        <v>88</v>
      </c>
      <c r="K11" s="31"/>
    </row>
    <row r="12" customFormat="false" ht="29.85" hidden="false" customHeight="false" outlineLevel="0" collapsed="false">
      <c r="A12" s="31" t="n">
        <v>11</v>
      </c>
      <c r="B12" s="31" t="s">
        <v>906</v>
      </c>
      <c r="C12" s="31" t="s">
        <v>907</v>
      </c>
      <c r="D12" s="30" t="s">
        <v>48</v>
      </c>
      <c r="E12" s="31" t="s">
        <v>908</v>
      </c>
      <c r="F12" s="30" t="s">
        <v>47</v>
      </c>
      <c r="G12" s="30" t="s">
        <v>909</v>
      </c>
      <c r="H12" s="31" t="s">
        <v>910</v>
      </c>
      <c r="I12" s="31" t="s">
        <v>533</v>
      </c>
      <c r="J12" s="31" t="s">
        <v>104</v>
      </c>
      <c r="K12" s="31"/>
    </row>
    <row r="13" customFormat="false" ht="29.85" hidden="false" customHeight="false" outlineLevel="0" collapsed="false">
      <c r="A13" s="31" t="n">
        <v>12</v>
      </c>
      <c r="B13" s="31" t="s">
        <v>911</v>
      </c>
      <c r="C13" s="31" t="s">
        <v>907</v>
      </c>
      <c r="D13" s="30" t="s">
        <v>48</v>
      </c>
      <c r="E13" s="31" t="s">
        <v>908</v>
      </c>
      <c r="F13" s="30" t="s">
        <v>47</v>
      </c>
      <c r="G13" s="30" t="s">
        <v>912</v>
      </c>
      <c r="H13" s="31" t="s">
        <v>913</v>
      </c>
      <c r="I13" s="31" t="s">
        <v>527</v>
      </c>
      <c r="J13" s="31" t="s">
        <v>104</v>
      </c>
      <c r="K13" s="31"/>
    </row>
    <row r="14" customFormat="false" ht="44" hidden="false" customHeight="false" outlineLevel="0" collapsed="false">
      <c r="A14" s="31" t="n">
        <v>13</v>
      </c>
      <c r="B14" s="31" t="s">
        <v>914</v>
      </c>
      <c r="C14" s="31" t="s">
        <v>877</v>
      </c>
      <c r="D14" s="30" t="s">
        <v>61</v>
      </c>
      <c r="E14" s="31" t="s">
        <v>62</v>
      </c>
      <c r="F14" s="30" t="s">
        <v>47</v>
      </c>
      <c r="G14" s="30" t="s">
        <v>915</v>
      </c>
      <c r="H14" s="31" t="s">
        <v>916</v>
      </c>
      <c r="I14" s="31" t="s">
        <v>917</v>
      </c>
      <c r="J14" s="31" t="s">
        <v>104</v>
      </c>
      <c r="K14" s="31"/>
    </row>
    <row r="15" customFormat="false" ht="46.25" hidden="false" customHeight="false" outlineLevel="0" collapsed="false">
      <c r="A15" s="31" t="n">
        <v>14</v>
      </c>
      <c r="B15" s="31" t="s">
        <v>918</v>
      </c>
      <c r="C15" s="31" t="s">
        <v>919</v>
      </c>
      <c r="D15" s="30" t="s">
        <v>26</v>
      </c>
      <c r="E15" s="31" t="s">
        <v>859</v>
      </c>
      <c r="F15" s="30" t="s">
        <v>25</v>
      </c>
      <c r="G15" s="30" t="s">
        <v>920</v>
      </c>
      <c r="H15" s="31" t="s">
        <v>921</v>
      </c>
      <c r="I15" s="31" t="s">
        <v>922</v>
      </c>
      <c r="J15" s="31" t="s">
        <v>104</v>
      </c>
      <c r="K15" s="31"/>
    </row>
    <row r="16" customFormat="false" ht="46.25" hidden="false" customHeight="false" outlineLevel="0" collapsed="false">
      <c r="A16" s="31" t="n">
        <v>15</v>
      </c>
      <c r="B16" s="31" t="s">
        <v>923</v>
      </c>
      <c r="C16" s="31" t="s">
        <v>858</v>
      </c>
      <c r="D16" s="30" t="s">
        <v>26</v>
      </c>
      <c r="E16" s="31" t="s">
        <v>859</v>
      </c>
      <c r="F16" s="30" t="s">
        <v>25</v>
      </c>
      <c r="G16" s="30" t="s">
        <v>924</v>
      </c>
      <c r="H16" s="31" t="s">
        <v>925</v>
      </c>
      <c r="I16" s="31" t="s">
        <v>926</v>
      </c>
      <c r="J16" s="31" t="s">
        <v>88</v>
      </c>
      <c r="K16" s="31"/>
    </row>
    <row r="17" customFormat="false" ht="44" hidden="false" customHeight="false" outlineLevel="0" collapsed="false">
      <c r="A17" s="31" t="n">
        <v>16</v>
      </c>
      <c r="B17" s="31" t="s">
        <v>927</v>
      </c>
      <c r="C17" s="31" t="s">
        <v>869</v>
      </c>
      <c r="D17" s="30" t="s">
        <v>870</v>
      </c>
      <c r="E17" s="31" t="s">
        <v>871</v>
      </c>
      <c r="F17" s="30" t="s">
        <v>872</v>
      </c>
      <c r="G17" s="30" t="s">
        <v>928</v>
      </c>
      <c r="H17" s="31" t="s">
        <v>929</v>
      </c>
      <c r="I17" s="31" t="s">
        <v>930</v>
      </c>
      <c r="J17" s="31" t="s">
        <v>104</v>
      </c>
      <c r="K17" s="31"/>
    </row>
    <row r="18" customFormat="false" ht="44" hidden="false" customHeight="false" outlineLevel="0" collapsed="false">
      <c r="A18" s="31" t="n">
        <v>17</v>
      </c>
      <c r="B18" s="31" t="s">
        <v>931</v>
      </c>
      <c r="C18" s="31" t="s">
        <v>932</v>
      </c>
      <c r="D18" s="30" t="s">
        <v>55</v>
      </c>
      <c r="E18" s="31" t="s">
        <v>933</v>
      </c>
      <c r="F18" s="30" t="s">
        <v>47</v>
      </c>
      <c r="G18" s="30" t="s">
        <v>934</v>
      </c>
      <c r="H18" s="31" t="s">
        <v>935</v>
      </c>
      <c r="I18" s="31" t="s">
        <v>936</v>
      </c>
      <c r="J18" s="31" t="s">
        <v>104</v>
      </c>
      <c r="K18" s="31"/>
    </row>
    <row r="19" customFormat="false" ht="44" hidden="false" customHeight="false" outlineLevel="0" collapsed="false">
      <c r="A19" s="31" t="n">
        <v>18</v>
      </c>
      <c r="B19" s="31" t="s">
        <v>937</v>
      </c>
      <c r="C19" s="31" t="s">
        <v>891</v>
      </c>
      <c r="D19" s="30" t="s">
        <v>36</v>
      </c>
      <c r="E19" s="31" t="s">
        <v>892</v>
      </c>
      <c r="F19" s="30" t="s">
        <v>25</v>
      </c>
      <c r="G19" s="30" t="s">
        <v>938</v>
      </c>
      <c r="H19" s="31" t="s">
        <v>939</v>
      </c>
      <c r="I19" s="31" t="s">
        <v>940</v>
      </c>
      <c r="J19" s="31" t="s">
        <v>104</v>
      </c>
      <c r="K19" s="31"/>
    </row>
    <row r="20" customFormat="false" ht="44" hidden="false" customHeight="false" outlineLevel="0" collapsed="false">
      <c r="A20" s="31" t="n">
        <v>19</v>
      </c>
      <c r="B20" s="31" t="s">
        <v>941</v>
      </c>
      <c r="C20" s="31" t="s">
        <v>942</v>
      </c>
      <c r="D20" s="30" t="s">
        <v>943</v>
      </c>
      <c r="E20" s="31" t="s">
        <v>944</v>
      </c>
      <c r="F20" s="30" t="s">
        <v>47</v>
      </c>
      <c r="G20" s="30" t="s">
        <v>945</v>
      </c>
      <c r="H20" s="31" t="s">
        <v>946</v>
      </c>
      <c r="I20" s="31" t="s">
        <v>947</v>
      </c>
      <c r="J20" s="31" t="s">
        <v>104</v>
      </c>
      <c r="K20" s="31"/>
    </row>
    <row r="21" customFormat="false" ht="58.2" hidden="false" customHeight="false" outlineLevel="0" collapsed="false">
      <c r="A21" s="31" t="n">
        <v>20</v>
      </c>
      <c r="B21" s="31" t="s">
        <v>948</v>
      </c>
      <c r="C21" s="31" t="s">
        <v>949</v>
      </c>
      <c r="D21" s="30" t="s">
        <v>950</v>
      </c>
      <c r="E21" s="31" t="s">
        <v>951</v>
      </c>
      <c r="F21" s="30" t="s">
        <v>872</v>
      </c>
      <c r="G21" s="30" t="s">
        <v>952</v>
      </c>
      <c r="H21" s="31" t="s">
        <v>953</v>
      </c>
      <c r="I21" s="31" t="s">
        <v>954</v>
      </c>
      <c r="J21" s="31" t="s">
        <v>104</v>
      </c>
      <c r="K21" s="31"/>
    </row>
    <row r="22" customFormat="false" ht="38.05" hidden="false" customHeight="false" outlineLevel="0" collapsed="false">
      <c r="A22" s="31" t="n">
        <v>21</v>
      </c>
      <c r="B22" s="31" t="s">
        <v>955</v>
      </c>
      <c r="C22" s="31" t="s">
        <v>956</v>
      </c>
      <c r="D22" s="30" t="s">
        <v>957</v>
      </c>
      <c r="E22" s="31" t="s">
        <v>958</v>
      </c>
      <c r="F22" s="31" t="s">
        <v>21</v>
      </c>
      <c r="G22" s="30" t="s">
        <v>959</v>
      </c>
      <c r="H22" s="31" t="s">
        <v>960</v>
      </c>
      <c r="I22" s="31" t="s">
        <v>84</v>
      </c>
      <c r="J22" s="31" t="s">
        <v>88</v>
      </c>
      <c r="K22" s="31"/>
    </row>
    <row r="23" customFormat="false" ht="44" hidden="false" customHeight="false" outlineLevel="0" collapsed="false">
      <c r="A23" s="31" t="n">
        <v>22</v>
      </c>
      <c r="B23" s="31" t="s">
        <v>961</v>
      </c>
      <c r="C23" s="31" t="s">
        <v>962</v>
      </c>
      <c r="D23" s="30" t="s">
        <v>26</v>
      </c>
      <c r="E23" s="31" t="s">
        <v>859</v>
      </c>
      <c r="F23" s="30" t="s">
        <v>25</v>
      </c>
      <c r="G23" s="30" t="s">
        <v>963</v>
      </c>
      <c r="H23" s="31" t="s">
        <v>964</v>
      </c>
      <c r="I23" s="31" t="s">
        <v>965</v>
      </c>
      <c r="J23" s="31" t="s">
        <v>88</v>
      </c>
      <c r="K23" s="31"/>
    </row>
    <row r="24" customFormat="false" ht="44" hidden="false" customHeight="false" outlineLevel="0" collapsed="false">
      <c r="A24" s="31" t="n">
        <v>23</v>
      </c>
      <c r="B24" s="31" t="s">
        <v>966</v>
      </c>
      <c r="C24" s="31" t="s">
        <v>869</v>
      </c>
      <c r="D24" s="30" t="s">
        <v>870</v>
      </c>
      <c r="E24" s="31" t="s">
        <v>871</v>
      </c>
      <c r="F24" s="30" t="s">
        <v>872</v>
      </c>
      <c r="G24" s="30" t="s">
        <v>967</v>
      </c>
      <c r="H24" s="31" t="s">
        <v>968</v>
      </c>
      <c r="I24" s="31" t="s">
        <v>969</v>
      </c>
      <c r="J24" s="31" t="s">
        <v>88</v>
      </c>
      <c r="K24" s="31"/>
    </row>
    <row r="25" customFormat="false" ht="29.85" hidden="false" customHeight="false" outlineLevel="0" collapsed="false">
      <c r="A25" s="31" t="n">
        <v>24</v>
      </c>
      <c r="B25" s="31" t="s">
        <v>970</v>
      </c>
      <c r="C25" s="31" t="s">
        <v>891</v>
      </c>
      <c r="D25" s="30" t="s">
        <v>36</v>
      </c>
      <c r="E25" s="31" t="s">
        <v>892</v>
      </c>
      <c r="F25" s="30" t="s">
        <v>25</v>
      </c>
      <c r="G25" s="30" t="s">
        <v>971</v>
      </c>
      <c r="H25" s="31" t="s">
        <v>972</v>
      </c>
      <c r="I25" s="31" t="s">
        <v>322</v>
      </c>
      <c r="J25" s="31" t="s">
        <v>88</v>
      </c>
      <c r="K25" s="31"/>
    </row>
    <row r="26" customFormat="false" ht="29.85" hidden="false" customHeight="false" outlineLevel="0" collapsed="false">
      <c r="A26" s="31" t="n">
        <v>25</v>
      </c>
      <c r="B26" s="31" t="s">
        <v>973</v>
      </c>
      <c r="C26" s="31" t="s">
        <v>974</v>
      </c>
      <c r="D26" s="30" t="s">
        <v>40</v>
      </c>
      <c r="E26" s="31" t="s">
        <v>886</v>
      </c>
      <c r="F26" s="30" t="s">
        <v>25</v>
      </c>
      <c r="G26" s="30" t="s">
        <v>975</v>
      </c>
      <c r="H26" s="31" t="s">
        <v>976</v>
      </c>
      <c r="I26" s="31" t="s">
        <v>429</v>
      </c>
      <c r="J26" s="31" t="s">
        <v>88</v>
      </c>
      <c r="K26" s="31"/>
    </row>
    <row r="27" customFormat="false" ht="44" hidden="false" customHeight="false" outlineLevel="0" collapsed="false">
      <c r="A27" s="31" t="n">
        <v>26</v>
      </c>
      <c r="B27" s="31" t="s">
        <v>977</v>
      </c>
      <c r="C27" s="31" t="s">
        <v>863</v>
      </c>
      <c r="D27" s="30" t="s">
        <v>26</v>
      </c>
      <c r="E27" s="31" t="s">
        <v>859</v>
      </c>
      <c r="F27" s="30" t="s">
        <v>25</v>
      </c>
      <c r="G27" s="30" t="s">
        <v>978</v>
      </c>
      <c r="H27" s="31" t="s">
        <v>979</v>
      </c>
      <c r="I27" s="31" t="s">
        <v>980</v>
      </c>
      <c r="J27" s="31" t="s">
        <v>88</v>
      </c>
      <c r="K27" s="31"/>
    </row>
    <row r="28" customFormat="false" ht="58.2" hidden="false" customHeight="false" outlineLevel="0" collapsed="false">
      <c r="A28" s="31" t="n">
        <v>27</v>
      </c>
      <c r="B28" s="31" t="s">
        <v>981</v>
      </c>
      <c r="C28" s="31" t="s">
        <v>982</v>
      </c>
      <c r="D28" s="30" t="s">
        <v>61</v>
      </c>
      <c r="E28" s="31" t="s">
        <v>62</v>
      </c>
      <c r="F28" s="30" t="s">
        <v>47</v>
      </c>
      <c r="G28" s="30" t="s">
        <v>983</v>
      </c>
      <c r="H28" s="31" t="s">
        <v>984</v>
      </c>
      <c r="I28" s="31" t="s">
        <v>985</v>
      </c>
      <c r="J28" s="31" t="s">
        <v>88</v>
      </c>
      <c r="K28" s="31"/>
    </row>
    <row r="29" customFormat="false" ht="44" hidden="false" customHeight="false" outlineLevel="0" collapsed="false">
      <c r="A29" s="31" t="n">
        <v>28</v>
      </c>
      <c r="B29" s="30" t="s">
        <v>986</v>
      </c>
      <c r="C29" s="31" t="s">
        <v>858</v>
      </c>
      <c r="D29" s="30" t="s">
        <v>26</v>
      </c>
      <c r="E29" s="31" t="s">
        <v>859</v>
      </c>
      <c r="F29" s="30" t="s">
        <v>25</v>
      </c>
      <c r="G29" s="30" t="s">
        <v>987</v>
      </c>
      <c r="H29" s="31" t="s">
        <v>988</v>
      </c>
      <c r="I29" s="31" t="s">
        <v>276</v>
      </c>
      <c r="J29" s="31" t="s">
        <v>104</v>
      </c>
      <c r="K29" s="31"/>
    </row>
    <row r="30" customFormat="false" ht="29.85" hidden="false" customHeight="false" outlineLevel="0" collapsed="false">
      <c r="A30" s="31" t="n">
        <v>29</v>
      </c>
      <c r="B30" s="30" t="s">
        <v>989</v>
      </c>
      <c r="C30" s="31" t="s">
        <v>949</v>
      </c>
      <c r="D30" s="30" t="s">
        <v>66</v>
      </c>
      <c r="E30" s="31" t="s">
        <v>864</v>
      </c>
      <c r="F30" s="30" t="s">
        <v>66</v>
      </c>
      <c r="G30" s="30" t="s">
        <v>990</v>
      </c>
      <c r="H30" s="31" t="s">
        <v>991</v>
      </c>
      <c r="I30" s="31" t="s">
        <v>797</v>
      </c>
      <c r="J30" s="31" t="s">
        <v>104</v>
      </c>
      <c r="K30" s="31"/>
    </row>
    <row r="31" customFormat="false" ht="58.2" hidden="false" customHeight="false" outlineLevel="0" collapsed="false">
      <c r="A31" s="31" t="n">
        <v>30</v>
      </c>
      <c r="B31" s="31" t="s">
        <v>992</v>
      </c>
      <c r="C31" s="31" t="s">
        <v>863</v>
      </c>
      <c r="D31" s="30" t="s">
        <v>66</v>
      </c>
      <c r="E31" s="31" t="s">
        <v>864</v>
      </c>
      <c r="F31" s="30" t="s">
        <v>66</v>
      </c>
      <c r="G31" s="30" t="s">
        <v>993</v>
      </c>
      <c r="H31" s="31" t="s">
        <v>994</v>
      </c>
      <c r="I31" s="31" t="s">
        <v>995</v>
      </c>
      <c r="J31" s="31" t="s">
        <v>88</v>
      </c>
      <c r="K31" s="31"/>
    </row>
    <row r="32" customFormat="false" ht="72.35" hidden="false" customHeight="false" outlineLevel="0" collapsed="false">
      <c r="A32" s="31" t="n">
        <v>31</v>
      </c>
      <c r="B32" s="31" t="s">
        <v>996</v>
      </c>
      <c r="C32" s="31" t="s">
        <v>949</v>
      </c>
      <c r="D32" s="30" t="s">
        <v>66</v>
      </c>
      <c r="E32" s="31" t="s">
        <v>864</v>
      </c>
      <c r="F32" s="30" t="s">
        <v>66</v>
      </c>
      <c r="G32" s="30" t="s">
        <v>997</v>
      </c>
      <c r="H32" s="31" t="s">
        <v>998</v>
      </c>
      <c r="I32" s="31" t="s">
        <v>999</v>
      </c>
      <c r="J32" s="31" t="s">
        <v>88</v>
      </c>
      <c r="K32" s="31"/>
    </row>
    <row r="33" customFormat="false" ht="58.2" hidden="false" customHeight="false" outlineLevel="0" collapsed="false">
      <c r="A33" s="31" t="n">
        <v>32</v>
      </c>
      <c r="B33" s="31" t="s">
        <v>1000</v>
      </c>
      <c r="C33" s="31" t="s">
        <v>863</v>
      </c>
      <c r="D33" s="30" t="s">
        <v>26</v>
      </c>
      <c r="E33" s="31" t="s">
        <v>859</v>
      </c>
      <c r="F33" s="30" t="s">
        <v>25</v>
      </c>
      <c r="G33" s="30" t="s">
        <v>1001</v>
      </c>
      <c r="H33" s="31" t="s">
        <v>1002</v>
      </c>
      <c r="I33" s="31" t="s">
        <v>1003</v>
      </c>
      <c r="J33" s="31" t="s">
        <v>104</v>
      </c>
      <c r="K33" s="31"/>
    </row>
    <row r="34" customFormat="false" ht="29.85" hidden="false" customHeight="false" outlineLevel="0" collapsed="false">
      <c r="A34" s="31" t="n">
        <v>33</v>
      </c>
      <c r="B34" s="31" t="s">
        <v>1004</v>
      </c>
      <c r="C34" s="31" t="s">
        <v>863</v>
      </c>
      <c r="D34" s="30" t="s">
        <v>26</v>
      </c>
      <c r="E34" s="31" t="s">
        <v>859</v>
      </c>
      <c r="F34" s="30" t="s">
        <v>25</v>
      </c>
      <c r="G34" s="30" t="s">
        <v>1005</v>
      </c>
      <c r="H34" s="31" t="s">
        <v>1006</v>
      </c>
      <c r="I34" s="31" t="s">
        <v>780</v>
      </c>
      <c r="J34" s="31" t="s">
        <v>88</v>
      </c>
      <c r="K34" s="31"/>
    </row>
    <row r="35" customFormat="false" ht="46.25" hidden="false" customHeight="false" outlineLevel="0" collapsed="false">
      <c r="A35" s="31" t="n">
        <v>34</v>
      </c>
      <c r="B35" s="31" t="s">
        <v>1007</v>
      </c>
      <c r="C35" s="31" t="s">
        <v>863</v>
      </c>
      <c r="D35" s="30" t="s">
        <v>26</v>
      </c>
      <c r="E35" s="31" t="s">
        <v>859</v>
      </c>
      <c r="F35" s="30" t="s">
        <v>25</v>
      </c>
      <c r="G35" s="30" t="s">
        <v>1008</v>
      </c>
      <c r="H35" s="31" t="s">
        <v>1009</v>
      </c>
      <c r="I35" s="31" t="s">
        <v>1010</v>
      </c>
      <c r="J35" s="31" t="s">
        <v>104</v>
      </c>
      <c r="K35" s="31"/>
    </row>
    <row r="36" customFormat="false" ht="58.2" hidden="false" customHeight="false" outlineLevel="0" collapsed="false">
      <c r="A36" s="31" t="n">
        <v>35</v>
      </c>
      <c r="B36" s="31" t="s">
        <v>1011</v>
      </c>
      <c r="C36" s="31" t="s">
        <v>949</v>
      </c>
      <c r="D36" s="30" t="s">
        <v>66</v>
      </c>
      <c r="E36" s="31" t="s">
        <v>864</v>
      </c>
      <c r="F36" s="30" t="s">
        <v>66</v>
      </c>
      <c r="G36" s="30" t="s">
        <v>1012</v>
      </c>
      <c r="H36" s="31" t="s">
        <v>1013</v>
      </c>
      <c r="I36" s="31" t="s">
        <v>1014</v>
      </c>
      <c r="J36" s="31" t="s">
        <v>88</v>
      </c>
      <c r="K36" s="31"/>
    </row>
    <row r="37" customFormat="false" ht="29.85" hidden="false" customHeight="false" outlineLevel="0" collapsed="false">
      <c r="A37" s="31" t="n">
        <v>36</v>
      </c>
      <c r="B37" s="31" t="s">
        <v>1015</v>
      </c>
      <c r="C37" s="31" t="s">
        <v>858</v>
      </c>
      <c r="D37" s="30" t="s">
        <v>26</v>
      </c>
      <c r="E37" s="31" t="s">
        <v>859</v>
      </c>
      <c r="F37" s="30" t="s">
        <v>25</v>
      </c>
      <c r="G37" s="30" t="s">
        <v>1016</v>
      </c>
      <c r="H37" s="31" t="s">
        <v>1017</v>
      </c>
      <c r="I37" s="31" t="s">
        <v>187</v>
      </c>
      <c r="J37" s="31" t="s">
        <v>88</v>
      </c>
      <c r="K37" s="31"/>
    </row>
    <row r="38" customFormat="false" ht="29.85" hidden="false" customHeight="false" outlineLevel="0" collapsed="false">
      <c r="A38" s="31" t="n">
        <v>37</v>
      </c>
      <c r="B38" s="31" t="s">
        <v>1018</v>
      </c>
      <c r="C38" s="31" t="s">
        <v>902</v>
      </c>
      <c r="D38" s="30" t="s">
        <v>26</v>
      </c>
      <c r="E38" s="31" t="s">
        <v>859</v>
      </c>
      <c r="F38" s="30" t="s">
        <v>25</v>
      </c>
      <c r="G38" s="30" t="s">
        <v>1019</v>
      </c>
      <c r="H38" s="31" t="s">
        <v>1020</v>
      </c>
      <c r="I38" s="31" t="s">
        <v>146</v>
      </c>
      <c r="J38" s="31" t="s">
        <v>88</v>
      </c>
      <c r="K38" s="31"/>
    </row>
    <row r="39" customFormat="false" ht="44" hidden="false" customHeight="false" outlineLevel="0" collapsed="false">
      <c r="A39" s="31" t="n">
        <v>38</v>
      </c>
      <c r="B39" s="31" t="s">
        <v>1021</v>
      </c>
      <c r="C39" s="31" t="s">
        <v>858</v>
      </c>
      <c r="D39" s="30" t="s">
        <v>26</v>
      </c>
      <c r="E39" s="31" t="s">
        <v>859</v>
      </c>
      <c r="F39" s="30" t="s">
        <v>25</v>
      </c>
      <c r="G39" s="30" t="s">
        <v>1022</v>
      </c>
      <c r="H39" s="31" t="s">
        <v>1023</v>
      </c>
      <c r="I39" s="31" t="s">
        <v>1024</v>
      </c>
      <c r="J39" s="31" t="s">
        <v>104</v>
      </c>
      <c r="K39" s="31"/>
    </row>
    <row r="40" customFormat="false" ht="58.2" hidden="false" customHeight="false" outlineLevel="0" collapsed="false">
      <c r="A40" s="31" t="n">
        <v>39</v>
      </c>
      <c r="B40" s="31" t="s">
        <v>1025</v>
      </c>
      <c r="C40" s="31" t="s">
        <v>942</v>
      </c>
      <c r="D40" s="30" t="s">
        <v>59</v>
      </c>
      <c r="E40" s="31" t="s">
        <v>1026</v>
      </c>
      <c r="F40" s="30" t="s">
        <v>47</v>
      </c>
      <c r="G40" s="30" t="s">
        <v>1027</v>
      </c>
      <c r="H40" s="31" t="s">
        <v>1028</v>
      </c>
      <c r="I40" s="31" t="s">
        <v>1029</v>
      </c>
      <c r="J40" s="31" t="s">
        <v>104</v>
      </c>
      <c r="K40" s="31"/>
    </row>
    <row r="41" customFormat="false" ht="58.2" hidden="false" customHeight="false" outlineLevel="0" collapsed="false">
      <c r="A41" s="31" t="n">
        <v>40</v>
      </c>
      <c r="B41" s="31" t="s">
        <v>1030</v>
      </c>
      <c r="C41" s="31" t="s">
        <v>869</v>
      </c>
      <c r="D41" s="30" t="s">
        <v>1031</v>
      </c>
      <c r="E41" s="31" t="s">
        <v>1032</v>
      </c>
      <c r="F41" s="30" t="s">
        <v>872</v>
      </c>
      <c r="G41" s="30" t="s">
        <v>1033</v>
      </c>
      <c r="H41" s="31" t="s">
        <v>1034</v>
      </c>
      <c r="I41" s="31" t="s">
        <v>1035</v>
      </c>
      <c r="J41" s="31" t="s">
        <v>104</v>
      </c>
      <c r="K41" s="31"/>
    </row>
    <row r="42" customFormat="false" ht="44" hidden="false" customHeight="false" outlineLevel="0" collapsed="false">
      <c r="A42" s="31" t="n">
        <v>41</v>
      </c>
      <c r="B42" s="31" t="s">
        <v>1036</v>
      </c>
      <c r="C42" s="31" t="s">
        <v>982</v>
      </c>
      <c r="D42" s="30" t="s">
        <v>61</v>
      </c>
      <c r="E42" s="31" t="s">
        <v>62</v>
      </c>
      <c r="F42" s="30" t="s">
        <v>47</v>
      </c>
      <c r="G42" s="30" t="s">
        <v>1037</v>
      </c>
      <c r="H42" s="31" t="s">
        <v>1038</v>
      </c>
      <c r="I42" s="31" t="s">
        <v>1039</v>
      </c>
      <c r="J42" s="31" t="s">
        <v>88</v>
      </c>
      <c r="K42" s="31"/>
    </row>
    <row r="43" customFormat="false" ht="58.2" hidden="false" customHeight="false" outlineLevel="0" collapsed="false">
      <c r="A43" s="31" t="n">
        <v>42</v>
      </c>
      <c r="B43" s="31" t="s">
        <v>1040</v>
      </c>
      <c r="C43" s="31" t="s">
        <v>956</v>
      </c>
      <c r="D43" s="30" t="s">
        <v>957</v>
      </c>
      <c r="E43" s="31" t="s">
        <v>958</v>
      </c>
      <c r="F43" s="31" t="s">
        <v>21</v>
      </c>
      <c r="G43" s="30" t="s">
        <v>1041</v>
      </c>
      <c r="H43" s="31" t="s">
        <v>1042</v>
      </c>
      <c r="I43" s="31" t="s">
        <v>1043</v>
      </c>
      <c r="J43" s="31" t="s">
        <v>104</v>
      </c>
      <c r="K43" s="31"/>
    </row>
    <row r="44" customFormat="false" ht="58.2" hidden="false" customHeight="false" outlineLevel="0" collapsed="false">
      <c r="A44" s="31" t="n">
        <v>43</v>
      </c>
      <c r="B44" s="31" t="s">
        <v>1044</v>
      </c>
      <c r="C44" s="31" t="s">
        <v>877</v>
      </c>
      <c r="D44" s="30" t="s">
        <v>66</v>
      </c>
      <c r="E44" s="31" t="s">
        <v>864</v>
      </c>
      <c r="F44" s="30" t="s">
        <v>66</v>
      </c>
      <c r="G44" s="30" t="s">
        <v>1045</v>
      </c>
      <c r="H44" s="31" t="s">
        <v>1046</v>
      </c>
      <c r="I44" s="31" t="s">
        <v>1047</v>
      </c>
      <c r="J44" s="31" t="s">
        <v>104</v>
      </c>
      <c r="K44" s="31"/>
    </row>
    <row r="45" customFormat="false" ht="58.2" hidden="false" customHeight="false" outlineLevel="0" collapsed="false">
      <c r="A45" s="31" t="n">
        <v>44</v>
      </c>
      <c r="B45" s="31" t="s">
        <v>1048</v>
      </c>
      <c r="C45" s="31" t="s">
        <v>863</v>
      </c>
      <c r="D45" s="30" t="s">
        <v>26</v>
      </c>
      <c r="E45" s="31" t="s">
        <v>859</v>
      </c>
      <c r="F45" s="30" t="s">
        <v>25</v>
      </c>
      <c r="G45" s="30" t="s">
        <v>1049</v>
      </c>
      <c r="H45" s="31" t="s">
        <v>1050</v>
      </c>
      <c r="I45" s="31" t="s">
        <v>1051</v>
      </c>
      <c r="J45" s="31" t="s">
        <v>88</v>
      </c>
      <c r="K45" s="31"/>
    </row>
    <row r="46" customFormat="false" ht="72.35" hidden="false" customHeight="false" outlineLevel="0" collapsed="false">
      <c r="A46" s="31" t="n">
        <v>45</v>
      </c>
      <c r="B46" s="31" t="s">
        <v>1052</v>
      </c>
      <c r="C46" s="31" t="s">
        <v>863</v>
      </c>
      <c r="D46" s="30" t="s">
        <v>66</v>
      </c>
      <c r="E46" s="31" t="s">
        <v>864</v>
      </c>
      <c r="F46" s="30" t="s">
        <v>66</v>
      </c>
      <c r="G46" s="30" t="s">
        <v>1053</v>
      </c>
      <c r="H46" s="31" t="s">
        <v>1054</v>
      </c>
      <c r="I46" s="31" t="s">
        <v>1055</v>
      </c>
      <c r="J46" s="31" t="s">
        <v>88</v>
      </c>
      <c r="K46" s="31"/>
    </row>
    <row r="47" customFormat="false" ht="58.2" hidden="false" customHeight="false" outlineLevel="0" collapsed="false">
      <c r="A47" s="31" t="n">
        <v>46</v>
      </c>
      <c r="B47" s="31" t="s">
        <v>1056</v>
      </c>
      <c r="C47" s="31" t="s">
        <v>877</v>
      </c>
      <c r="D47" s="30" t="s">
        <v>1057</v>
      </c>
      <c r="E47" s="31" t="s">
        <v>1058</v>
      </c>
      <c r="F47" s="30" t="s">
        <v>872</v>
      </c>
      <c r="G47" s="30" t="s">
        <v>1059</v>
      </c>
      <c r="H47" s="31" t="s">
        <v>1060</v>
      </c>
      <c r="I47" s="31" t="s">
        <v>1061</v>
      </c>
      <c r="J47" s="31" t="s">
        <v>88</v>
      </c>
      <c r="K47" s="31"/>
    </row>
    <row r="48" customFormat="false" ht="29.85" hidden="false" customHeight="false" outlineLevel="0" collapsed="false">
      <c r="A48" s="31" t="n">
        <v>47</v>
      </c>
      <c r="B48" s="31" t="s">
        <v>1062</v>
      </c>
      <c r="C48" s="31" t="s">
        <v>982</v>
      </c>
      <c r="D48" s="30" t="s">
        <v>61</v>
      </c>
      <c r="E48" s="31" t="s">
        <v>62</v>
      </c>
      <c r="F48" s="30" t="s">
        <v>47</v>
      </c>
      <c r="G48" s="30" t="s">
        <v>1063</v>
      </c>
      <c r="H48" s="31" t="s">
        <v>1064</v>
      </c>
      <c r="I48" s="31" t="s">
        <v>240</v>
      </c>
      <c r="J48" s="31" t="s">
        <v>88</v>
      </c>
      <c r="K48" s="31"/>
    </row>
    <row r="49" customFormat="false" ht="58.2" hidden="false" customHeight="false" outlineLevel="0" collapsed="false">
      <c r="A49" s="31" t="n">
        <v>48</v>
      </c>
      <c r="B49" s="31" t="s">
        <v>1065</v>
      </c>
      <c r="C49" s="31" t="s">
        <v>956</v>
      </c>
      <c r="D49" s="30" t="s">
        <v>957</v>
      </c>
      <c r="E49" s="31" t="s">
        <v>958</v>
      </c>
      <c r="F49" s="31" t="s">
        <v>21</v>
      </c>
      <c r="G49" s="30" t="s">
        <v>1066</v>
      </c>
      <c r="H49" s="31" t="s">
        <v>1067</v>
      </c>
      <c r="I49" s="31" t="s">
        <v>1068</v>
      </c>
      <c r="J49" s="31" t="s">
        <v>88</v>
      </c>
      <c r="K49" s="31"/>
    </row>
    <row r="50" customFormat="false" ht="58.2" hidden="false" customHeight="false" outlineLevel="0" collapsed="false">
      <c r="A50" s="31" t="n">
        <v>49</v>
      </c>
      <c r="B50" s="31" t="s">
        <v>1069</v>
      </c>
      <c r="C50" s="31" t="s">
        <v>869</v>
      </c>
      <c r="D50" s="30" t="s">
        <v>40</v>
      </c>
      <c r="E50" s="31" t="s">
        <v>886</v>
      </c>
      <c r="F50" s="30" t="s">
        <v>25</v>
      </c>
      <c r="G50" s="30" t="s">
        <v>1070</v>
      </c>
      <c r="H50" s="31" t="s">
        <v>1071</v>
      </c>
      <c r="I50" s="31" t="s">
        <v>1072</v>
      </c>
      <c r="J50" s="31" t="s">
        <v>104</v>
      </c>
      <c r="K50" s="31"/>
    </row>
    <row r="51" customFormat="false" ht="58.2" hidden="false" customHeight="false" outlineLevel="0" collapsed="false">
      <c r="A51" s="31" t="n">
        <v>50</v>
      </c>
      <c r="B51" s="31" t="s">
        <v>1073</v>
      </c>
      <c r="C51" s="31" t="s">
        <v>863</v>
      </c>
      <c r="D51" s="30" t="s">
        <v>66</v>
      </c>
      <c r="E51" s="31" t="s">
        <v>864</v>
      </c>
      <c r="F51" s="30" t="s">
        <v>66</v>
      </c>
      <c r="G51" s="30" t="s">
        <v>1074</v>
      </c>
      <c r="H51" s="31" t="s">
        <v>1075</v>
      </c>
      <c r="I51" s="31" t="s">
        <v>1076</v>
      </c>
      <c r="J51" s="31" t="s">
        <v>88</v>
      </c>
      <c r="K51" s="31"/>
    </row>
    <row r="52" customFormat="false" ht="29.85" hidden="false" customHeight="false" outlineLevel="0" collapsed="false">
      <c r="A52" s="31" t="n">
        <v>51</v>
      </c>
      <c r="B52" s="31" t="s">
        <v>1077</v>
      </c>
      <c r="C52" s="31" t="s">
        <v>891</v>
      </c>
      <c r="D52" s="30" t="s">
        <v>36</v>
      </c>
      <c r="E52" s="31" t="s">
        <v>892</v>
      </c>
      <c r="F52" s="30" t="s">
        <v>25</v>
      </c>
      <c r="G52" s="30" t="s">
        <v>1078</v>
      </c>
      <c r="H52" s="31" t="s">
        <v>1079</v>
      </c>
      <c r="I52" s="31" t="s">
        <v>322</v>
      </c>
      <c r="J52" s="31" t="s">
        <v>88</v>
      </c>
      <c r="K52" s="31"/>
    </row>
    <row r="53" customFormat="false" ht="46.25" hidden="false" customHeight="false" outlineLevel="0" collapsed="false">
      <c r="A53" s="31" t="n">
        <v>52</v>
      </c>
      <c r="B53" s="31" t="s">
        <v>1080</v>
      </c>
      <c r="C53" s="31" t="s">
        <v>877</v>
      </c>
      <c r="D53" s="30" t="s">
        <v>1057</v>
      </c>
      <c r="E53" s="31" t="s">
        <v>1058</v>
      </c>
      <c r="F53" s="30" t="s">
        <v>872</v>
      </c>
      <c r="G53" s="30" t="s">
        <v>1081</v>
      </c>
      <c r="H53" s="31" t="s">
        <v>1082</v>
      </c>
      <c r="I53" s="31" t="s">
        <v>1083</v>
      </c>
      <c r="J53" s="31" t="s">
        <v>104</v>
      </c>
      <c r="K53" s="31"/>
    </row>
    <row r="54" customFormat="false" ht="35.05" hidden="false" customHeight="false" outlineLevel="0" collapsed="false">
      <c r="A54" s="31" t="n">
        <v>53</v>
      </c>
      <c r="B54" s="30" t="s">
        <v>1084</v>
      </c>
      <c r="C54" s="31" t="s">
        <v>932</v>
      </c>
      <c r="D54" s="30" t="s">
        <v>55</v>
      </c>
      <c r="E54" s="31" t="s">
        <v>933</v>
      </c>
      <c r="F54" s="30" t="s">
        <v>47</v>
      </c>
      <c r="G54" s="30" t="s">
        <v>1085</v>
      </c>
      <c r="H54" s="31" t="s">
        <v>1086</v>
      </c>
      <c r="I54" s="31" t="s">
        <v>583</v>
      </c>
      <c r="J54" s="31" t="s">
        <v>104</v>
      </c>
      <c r="K54" s="31"/>
    </row>
    <row r="55" customFormat="false" ht="35.05" hidden="false" customHeight="false" outlineLevel="0" collapsed="false">
      <c r="A55" s="31" t="n">
        <v>54</v>
      </c>
      <c r="B55" s="31" t="s">
        <v>1087</v>
      </c>
      <c r="C55" s="31" t="s">
        <v>982</v>
      </c>
      <c r="D55" s="30" t="s">
        <v>61</v>
      </c>
      <c r="E55" s="31" t="s">
        <v>62</v>
      </c>
      <c r="F55" s="30" t="s">
        <v>47</v>
      </c>
      <c r="G55" s="30" t="s">
        <v>1088</v>
      </c>
      <c r="H55" s="31" t="s">
        <v>1089</v>
      </c>
      <c r="I55" s="31" t="s">
        <v>636</v>
      </c>
      <c r="J55" s="31" t="s">
        <v>104</v>
      </c>
      <c r="K55" s="31"/>
    </row>
    <row r="56" customFormat="false" ht="44" hidden="false" customHeight="false" outlineLevel="0" collapsed="false">
      <c r="A56" s="31" t="n">
        <v>55</v>
      </c>
      <c r="B56" s="31" t="s">
        <v>1090</v>
      </c>
      <c r="C56" s="31" t="s">
        <v>863</v>
      </c>
      <c r="D56" s="30" t="s">
        <v>26</v>
      </c>
      <c r="E56" s="31" t="s">
        <v>859</v>
      </c>
      <c r="F56" s="30" t="s">
        <v>25</v>
      </c>
      <c r="G56" s="30" t="s">
        <v>1091</v>
      </c>
      <c r="H56" s="31" t="s">
        <v>1092</v>
      </c>
      <c r="I56" s="31" t="s">
        <v>1093</v>
      </c>
      <c r="J56" s="31" t="s">
        <v>88</v>
      </c>
      <c r="K56" s="31"/>
    </row>
    <row r="57" customFormat="false" ht="44" hidden="false" customHeight="false" outlineLevel="0" collapsed="false">
      <c r="A57" s="31" t="n">
        <v>56</v>
      </c>
      <c r="B57" s="31" t="s">
        <v>1094</v>
      </c>
      <c r="C57" s="31" t="s">
        <v>863</v>
      </c>
      <c r="D57" s="30" t="s">
        <v>26</v>
      </c>
      <c r="E57" s="31" t="s">
        <v>859</v>
      </c>
      <c r="F57" s="30" t="s">
        <v>25</v>
      </c>
      <c r="G57" s="30" t="s">
        <v>1095</v>
      </c>
      <c r="H57" s="31" t="s">
        <v>1096</v>
      </c>
      <c r="I57" s="31" t="s">
        <v>1097</v>
      </c>
      <c r="J57" s="31" t="s">
        <v>88</v>
      </c>
      <c r="K57" s="31"/>
    </row>
    <row r="58" customFormat="false" ht="29.85" hidden="false" customHeight="false" outlineLevel="0" collapsed="false">
      <c r="A58" s="31" t="n">
        <v>57</v>
      </c>
      <c r="B58" s="30" t="s">
        <v>1098</v>
      </c>
      <c r="C58" s="31" t="s">
        <v>877</v>
      </c>
      <c r="D58" s="30" t="s">
        <v>66</v>
      </c>
      <c r="E58" s="31" t="s">
        <v>864</v>
      </c>
      <c r="F58" s="30" t="s">
        <v>66</v>
      </c>
      <c r="G58" s="30" t="s">
        <v>1099</v>
      </c>
      <c r="H58" s="31" t="s">
        <v>1100</v>
      </c>
      <c r="I58" s="31" t="s">
        <v>792</v>
      </c>
      <c r="J58" s="31" t="s">
        <v>104</v>
      </c>
      <c r="K58" s="31"/>
    </row>
    <row r="59" customFormat="false" ht="29.85" hidden="false" customHeight="false" outlineLevel="0" collapsed="false">
      <c r="A59" s="31" t="n">
        <v>58</v>
      </c>
      <c r="B59" s="31" t="s">
        <v>1101</v>
      </c>
      <c r="C59" s="31" t="s">
        <v>974</v>
      </c>
      <c r="D59" s="30" t="s">
        <v>40</v>
      </c>
      <c r="E59" s="31" t="s">
        <v>886</v>
      </c>
      <c r="F59" s="30" t="s">
        <v>25</v>
      </c>
      <c r="G59" s="30" t="s">
        <v>1102</v>
      </c>
      <c r="H59" s="31" t="s">
        <v>1103</v>
      </c>
      <c r="I59" s="31" t="s">
        <v>456</v>
      </c>
      <c r="J59" s="31" t="s">
        <v>88</v>
      </c>
      <c r="K59" s="31"/>
    </row>
    <row r="60" customFormat="false" ht="29.85" hidden="false" customHeight="false" outlineLevel="0" collapsed="false">
      <c r="A60" s="31" t="n">
        <v>59</v>
      </c>
      <c r="B60" s="31" t="s">
        <v>1104</v>
      </c>
      <c r="C60" s="31" t="s">
        <v>891</v>
      </c>
      <c r="D60" s="30" t="s">
        <v>36</v>
      </c>
      <c r="E60" s="31" t="s">
        <v>892</v>
      </c>
      <c r="F60" s="30" t="s">
        <v>25</v>
      </c>
      <c r="G60" s="30" t="s">
        <v>1105</v>
      </c>
      <c r="H60" s="31" t="s">
        <v>1106</v>
      </c>
      <c r="I60" s="31" t="s">
        <v>329</v>
      </c>
      <c r="J60" s="31" t="s">
        <v>88</v>
      </c>
      <c r="K60" s="31"/>
    </row>
    <row r="61" customFormat="false" ht="44" hidden="false" customHeight="false" outlineLevel="0" collapsed="false">
      <c r="A61" s="31" t="n">
        <v>60</v>
      </c>
      <c r="B61" s="31" t="s">
        <v>1107</v>
      </c>
      <c r="C61" s="31" t="s">
        <v>869</v>
      </c>
      <c r="D61" s="30" t="s">
        <v>870</v>
      </c>
      <c r="E61" s="31" t="s">
        <v>871</v>
      </c>
      <c r="F61" s="30" t="s">
        <v>872</v>
      </c>
      <c r="G61" s="30" t="s">
        <v>1108</v>
      </c>
      <c r="H61" s="31" t="s">
        <v>1109</v>
      </c>
      <c r="I61" s="31" t="s">
        <v>1110</v>
      </c>
      <c r="J61" s="31" t="s">
        <v>104</v>
      </c>
      <c r="K61" s="31"/>
    </row>
    <row r="62" customFormat="false" ht="44" hidden="false" customHeight="false" outlineLevel="0" collapsed="false">
      <c r="A62" s="31" t="n">
        <v>61</v>
      </c>
      <c r="B62" s="31" t="s">
        <v>1111</v>
      </c>
      <c r="C62" s="31" t="s">
        <v>869</v>
      </c>
      <c r="D62" s="30" t="s">
        <v>870</v>
      </c>
      <c r="E62" s="31" t="s">
        <v>871</v>
      </c>
      <c r="F62" s="30" t="s">
        <v>872</v>
      </c>
      <c r="G62" s="30" t="s">
        <v>1112</v>
      </c>
      <c r="H62" s="31" t="s">
        <v>1113</v>
      </c>
      <c r="I62" s="31" t="s">
        <v>1114</v>
      </c>
      <c r="J62" s="31" t="s">
        <v>88</v>
      </c>
      <c r="K62" s="31"/>
    </row>
    <row r="63" customFormat="false" ht="35.05" hidden="false" customHeight="false" outlineLevel="0" collapsed="false">
      <c r="A63" s="31" t="n">
        <v>62</v>
      </c>
      <c r="B63" s="31" t="s">
        <v>1115</v>
      </c>
      <c r="C63" s="31" t="s">
        <v>982</v>
      </c>
      <c r="D63" s="30" t="s">
        <v>61</v>
      </c>
      <c r="E63" s="31" t="s">
        <v>62</v>
      </c>
      <c r="F63" s="30" t="s">
        <v>47</v>
      </c>
      <c r="G63" s="30" t="s">
        <v>1116</v>
      </c>
      <c r="H63" s="31" t="s">
        <v>1117</v>
      </c>
      <c r="I63" s="31" t="s">
        <v>636</v>
      </c>
      <c r="J63" s="31" t="s">
        <v>104</v>
      </c>
      <c r="K63" s="31"/>
    </row>
    <row r="64" customFormat="false" ht="72.35" hidden="false" customHeight="false" outlineLevel="0" collapsed="false">
      <c r="A64" s="31" t="n">
        <v>63</v>
      </c>
      <c r="B64" s="31" t="s">
        <v>1118</v>
      </c>
      <c r="C64" s="31" t="s">
        <v>863</v>
      </c>
      <c r="D64" s="30" t="s">
        <v>66</v>
      </c>
      <c r="E64" s="31" t="s">
        <v>864</v>
      </c>
      <c r="F64" s="30" t="s">
        <v>66</v>
      </c>
      <c r="G64" s="30" t="s">
        <v>1119</v>
      </c>
      <c r="H64" s="31" t="s">
        <v>1120</v>
      </c>
      <c r="I64" s="31" t="s">
        <v>1121</v>
      </c>
      <c r="J64" s="31" t="s">
        <v>88</v>
      </c>
      <c r="K64" s="31"/>
    </row>
    <row r="65" customFormat="false" ht="72.35" hidden="false" customHeight="false" outlineLevel="0" collapsed="false">
      <c r="A65" s="31" t="n">
        <v>64</v>
      </c>
      <c r="B65" s="31" t="s">
        <v>1122</v>
      </c>
      <c r="C65" s="31" t="s">
        <v>877</v>
      </c>
      <c r="D65" s="30" t="s">
        <v>66</v>
      </c>
      <c r="E65" s="31" t="s">
        <v>864</v>
      </c>
      <c r="F65" s="30" t="s">
        <v>66</v>
      </c>
      <c r="G65" s="30" t="s">
        <v>1123</v>
      </c>
      <c r="H65" s="31" t="s">
        <v>1124</v>
      </c>
      <c r="I65" s="31" t="s">
        <v>1125</v>
      </c>
      <c r="J65" s="31" t="s">
        <v>88</v>
      </c>
      <c r="K65" s="31"/>
    </row>
    <row r="66" customFormat="false" ht="46.25" hidden="false" customHeight="false" outlineLevel="0" collapsed="false">
      <c r="A66" s="31" t="n">
        <v>65</v>
      </c>
      <c r="B66" s="31" t="s">
        <v>1126</v>
      </c>
      <c r="C66" s="31" t="s">
        <v>863</v>
      </c>
      <c r="D66" s="30" t="s">
        <v>26</v>
      </c>
      <c r="E66" s="31" t="s">
        <v>859</v>
      </c>
      <c r="F66" s="30" t="s">
        <v>25</v>
      </c>
      <c r="G66" s="30" t="s">
        <v>1127</v>
      </c>
      <c r="H66" s="31" t="s">
        <v>1128</v>
      </c>
      <c r="I66" s="31" t="s">
        <v>1129</v>
      </c>
      <c r="J66" s="31" t="s">
        <v>104</v>
      </c>
      <c r="K66" s="31"/>
    </row>
    <row r="67" customFormat="false" ht="29.85" hidden="false" customHeight="false" outlineLevel="0" collapsed="false">
      <c r="A67" s="31" t="n">
        <v>66</v>
      </c>
      <c r="B67" s="31" t="s">
        <v>1130</v>
      </c>
      <c r="C67" s="31" t="s">
        <v>869</v>
      </c>
      <c r="D67" s="30" t="s">
        <v>40</v>
      </c>
      <c r="E67" s="31" t="s">
        <v>886</v>
      </c>
      <c r="F67" s="30" t="s">
        <v>25</v>
      </c>
      <c r="G67" s="30" t="s">
        <v>1131</v>
      </c>
      <c r="H67" s="31" t="s">
        <v>1132</v>
      </c>
      <c r="I67" s="31" t="s">
        <v>421</v>
      </c>
      <c r="J67" s="31" t="s">
        <v>88</v>
      </c>
      <c r="K67" s="31"/>
    </row>
    <row r="68" customFormat="false" ht="44" hidden="false" customHeight="false" outlineLevel="0" collapsed="false">
      <c r="A68" s="31" t="n">
        <v>67</v>
      </c>
      <c r="B68" s="31" t="s">
        <v>1133</v>
      </c>
      <c r="C68" s="31" t="s">
        <v>942</v>
      </c>
      <c r="D68" s="30" t="s">
        <v>59</v>
      </c>
      <c r="E68" s="31" t="s">
        <v>1026</v>
      </c>
      <c r="F68" s="30" t="s">
        <v>47</v>
      </c>
      <c r="G68" s="30" t="s">
        <v>1134</v>
      </c>
      <c r="H68" s="31" t="s">
        <v>1135</v>
      </c>
      <c r="I68" s="31" t="s">
        <v>1136</v>
      </c>
      <c r="J68" s="31" t="s">
        <v>104</v>
      </c>
      <c r="K68" s="31"/>
    </row>
    <row r="69" customFormat="false" ht="72.35" hidden="false" customHeight="false" outlineLevel="0" collapsed="false">
      <c r="A69" s="31" t="n">
        <v>68</v>
      </c>
      <c r="B69" s="31" t="s">
        <v>1137</v>
      </c>
      <c r="C69" s="31" t="s">
        <v>863</v>
      </c>
      <c r="D69" s="30" t="s">
        <v>66</v>
      </c>
      <c r="E69" s="31" t="s">
        <v>864</v>
      </c>
      <c r="F69" s="30" t="s">
        <v>66</v>
      </c>
      <c r="G69" s="30" t="s">
        <v>1138</v>
      </c>
      <c r="H69" s="31" t="s">
        <v>1139</v>
      </c>
      <c r="I69" s="31" t="s">
        <v>1140</v>
      </c>
      <c r="J69" s="31" t="s">
        <v>104</v>
      </c>
      <c r="K69" s="31"/>
    </row>
    <row r="70" customFormat="false" ht="46.25" hidden="false" customHeight="false" outlineLevel="0" collapsed="false">
      <c r="A70" s="31" t="n">
        <v>69</v>
      </c>
      <c r="B70" s="31" t="s">
        <v>1141</v>
      </c>
      <c r="C70" s="31" t="s">
        <v>902</v>
      </c>
      <c r="D70" s="30" t="s">
        <v>26</v>
      </c>
      <c r="E70" s="31" t="s">
        <v>859</v>
      </c>
      <c r="F70" s="30" t="s">
        <v>25</v>
      </c>
      <c r="G70" s="30" t="s">
        <v>1142</v>
      </c>
      <c r="H70" s="31" t="s">
        <v>1143</v>
      </c>
      <c r="I70" s="31" t="s">
        <v>1144</v>
      </c>
      <c r="J70" s="31" t="s">
        <v>88</v>
      </c>
      <c r="K70" s="31"/>
    </row>
    <row r="71" customFormat="false" ht="44" hidden="false" customHeight="false" outlineLevel="0" collapsed="false">
      <c r="A71" s="31" t="n">
        <v>70</v>
      </c>
      <c r="B71" s="31" t="s">
        <v>1145</v>
      </c>
      <c r="C71" s="31" t="s">
        <v>907</v>
      </c>
      <c r="D71" s="30" t="s">
        <v>48</v>
      </c>
      <c r="E71" s="31" t="s">
        <v>908</v>
      </c>
      <c r="F71" s="30" t="s">
        <v>47</v>
      </c>
      <c r="G71" s="30" t="s">
        <v>1146</v>
      </c>
      <c r="H71" s="31" t="s">
        <v>1147</v>
      </c>
      <c r="I71" s="31" t="s">
        <v>1148</v>
      </c>
      <c r="J71" s="31" t="s">
        <v>104</v>
      </c>
      <c r="K71" s="31"/>
    </row>
    <row r="72" customFormat="false" ht="44" hidden="false" customHeight="false" outlineLevel="0" collapsed="false">
      <c r="A72" s="31" t="n">
        <v>71</v>
      </c>
      <c r="B72" s="31" t="s">
        <v>1149</v>
      </c>
      <c r="C72" s="31" t="s">
        <v>1150</v>
      </c>
      <c r="D72" s="30" t="s">
        <v>1151</v>
      </c>
      <c r="E72" s="31" t="s">
        <v>1152</v>
      </c>
      <c r="F72" s="30" t="s">
        <v>872</v>
      </c>
      <c r="G72" s="30" t="s">
        <v>1153</v>
      </c>
      <c r="H72" s="31" t="s">
        <v>1154</v>
      </c>
      <c r="I72" s="31" t="s">
        <v>1155</v>
      </c>
      <c r="J72" s="31" t="s">
        <v>104</v>
      </c>
      <c r="K72" s="31"/>
    </row>
    <row r="73" customFormat="false" ht="44" hidden="false" customHeight="false" outlineLevel="0" collapsed="false">
      <c r="A73" s="31" t="n">
        <v>72</v>
      </c>
      <c r="B73" s="31" t="s">
        <v>1156</v>
      </c>
      <c r="C73" s="31" t="s">
        <v>877</v>
      </c>
      <c r="D73" s="30" t="s">
        <v>1057</v>
      </c>
      <c r="E73" s="31" t="s">
        <v>1058</v>
      </c>
      <c r="F73" s="30" t="s">
        <v>872</v>
      </c>
      <c r="G73" s="30" t="s">
        <v>1157</v>
      </c>
      <c r="H73" s="31" t="s">
        <v>1158</v>
      </c>
      <c r="I73" s="31" t="s">
        <v>1083</v>
      </c>
      <c r="J73" s="31" t="s">
        <v>104</v>
      </c>
      <c r="K73" s="31"/>
    </row>
    <row r="74" customFormat="false" ht="44" hidden="false" customHeight="false" outlineLevel="0" collapsed="false">
      <c r="A74" s="31" t="n">
        <v>73</v>
      </c>
      <c r="B74" s="31" t="s">
        <v>1159</v>
      </c>
      <c r="C74" s="31" t="s">
        <v>877</v>
      </c>
      <c r="D74" s="30" t="s">
        <v>66</v>
      </c>
      <c r="E74" s="31" t="s">
        <v>864</v>
      </c>
      <c r="F74" s="30" t="s">
        <v>66</v>
      </c>
      <c r="G74" s="30" t="s">
        <v>1160</v>
      </c>
      <c r="H74" s="31" t="s">
        <v>1161</v>
      </c>
      <c r="I74" s="31" t="s">
        <v>1162</v>
      </c>
      <c r="J74" s="31" t="s">
        <v>88</v>
      </c>
      <c r="K74" s="31"/>
    </row>
    <row r="75" customFormat="false" ht="44" hidden="false" customHeight="false" outlineLevel="0" collapsed="false">
      <c r="A75" s="31" t="n">
        <v>74</v>
      </c>
      <c r="B75" s="31" t="s">
        <v>1163</v>
      </c>
      <c r="C75" s="31" t="s">
        <v>869</v>
      </c>
      <c r="D75" s="30" t="s">
        <v>870</v>
      </c>
      <c r="E75" s="31" t="s">
        <v>871</v>
      </c>
      <c r="F75" s="30" t="s">
        <v>872</v>
      </c>
      <c r="G75" s="30" t="s">
        <v>1164</v>
      </c>
      <c r="H75" s="31" t="s">
        <v>1165</v>
      </c>
      <c r="I75" s="31" t="s">
        <v>969</v>
      </c>
      <c r="J75" s="31" t="s">
        <v>88</v>
      </c>
      <c r="K75" s="31"/>
    </row>
    <row r="76" customFormat="false" ht="35.05" hidden="false" customHeight="false" outlineLevel="0" collapsed="false">
      <c r="A76" s="31" t="n">
        <v>75</v>
      </c>
      <c r="B76" s="30" t="s">
        <v>1166</v>
      </c>
      <c r="C76" s="31" t="s">
        <v>891</v>
      </c>
      <c r="D76" s="30" t="s">
        <v>36</v>
      </c>
      <c r="E76" s="31" t="s">
        <v>892</v>
      </c>
      <c r="F76" s="30" t="s">
        <v>25</v>
      </c>
      <c r="G76" s="30" t="s">
        <v>1167</v>
      </c>
      <c r="H76" s="31" t="s">
        <v>1168</v>
      </c>
      <c r="I76" s="31" t="s">
        <v>336</v>
      </c>
      <c r="J76" s="31" t="s">
        <v>88</v>
      </c>
      <c r="K76" s="31"/>
    </row>
    <row r="77" customFormat="false" ht="35.05" hidden="false" customHeight="false" outlineLevel="0" collapsed="false">
      <c r="A77" s="31" t="n">
        <v>76</v>
      </c>
      <c r="B77" s="30" t="s">
        <v>1169</v>
      </c>
      <c r="C77" s="31" t="s">
        <v>1170</v>
      </c>
      <c r="D77" s="30" t="s">
        <v>26</v>
      </c>
      <c r="E77" s="31" t="s">
        <v>859</v>
      </c>
      <c r="F77" s="30" t="s">
        <v>25</v>
      </c>
      <c r="G77" s="30" t="s">
        <v>1171</v>
      </c>
      <c r="H77" s="31" t="s">
        <v>1172</v>
      </c>
      <c r="I77" s="31" t="s">
        <v>202</v>
      </c>
      <c r="J77" s="31" t="s">
        <v>104</v>
      </c>
      <c r="K77" s="31"/>
    </row>
    <row r="78" customFormat="false" ht="72.35" hidden="false" customHeight="false" outlineLevel="0" collapsed="false">
      <c r="A78" s="31" t="n">
        <v>77</v>
      </c>
      <c r="B78" s="31" t="s">
        <v>1173</v>
      </c>
      <c r="C78" s="31" t="s">
        <v>877</v>
      </c>
      <c r="D78" s="30" t="s">
        <v>66</v>
      </c>
      <c r="E78" s="31" t="s">
        <v>864</v>
      </c>
      <c r="F78" s="30" t="s">
        <v>66</v>
      </c>
      <c r="G78" s="30" t="s">
        <v>1174</v>
      </c>
      <c r="H78" s="31" t="s">
        <v>1175</v>
      </c>
      <c r="I78" s="31" t="s">
        <v>1176</v>
      </c>
      <c r="J78" s="31" t="s">
        <v>88</v>
      </c>
      <c r="K78" s="31"/>
    </row>
    <row r="79" customFormat="false" ht="72.35" hidden="false" customHeight="false" outlineLevel="0" collapsed="false">
      <c r="A79" s="31" t="n">
        <v>78</v>
      </c>
      <c r="B79" s="31" t="s">
        <v>1177</v>
      </c>
      <c r="C79" s="31" t="s">
        <v>877</v>
      </c>
      <c r="D79" s="30" t="s">
        <v>66</v>
      </c>
      <c r="E79" s="31" t="s">
        <v>864</v>
      </c>
      <c r="F79" s="30" t="s">
        <v>66</v>
      </c>
      <c r="G79" s="30" t="s">
        <v>1178</v>
      </c>
      <c r="H79" s="31" t="s">
        <v>1179</v>
      </c>
      <c r="I79" s="31" t="s">
        <v>1180</v>
      </c>
      <c r="J79" s="31" t="s">
        <v>88</v>
      </c>
      <c r="K79" s="31"/>
    </row>
    <row r="80" customFormat="false" ht="58.2" hidden="false" customHeight="false" outlineLevel="0" collapsed="false">
      <c r="A80" s="31" t="n">
        <v>79</v>
      </c>
      <c r="B80" s="31" t="s">
        <v>1181</v>
      </c>
      <c r="C80" s="31" t="s">
        <v>877</v>
      </c>
      <c r="D80" s="30" t="s">
        <v>66</v>
      </c>
      <c r="E80" s="31" t="s">
        <v>864</v>
      </c>
      <c r="F80" s="30" t="s">
        <v>66</v>
      </c>
      <c r="G80" s="30" t="s">
        <v>1182</v>
      </c>
      <c r="H80" s="31" t="s">
        <v>1183</v>
      </c>
      <c r="I80" s="31" t="s">
        <v>1184</v>
      </c>
      <c r="J80" s="31" t="s">
        <v>88</v>
      </c>
      <c r="K80" s="31"/>
    </row>
    <row r="81" customFormat="false" ht="143.25" hidden="false" customHeight="false" outlineLevel="0" collapsed="false">
      <c r="A81" s="31" t="n">
        <v>80</v>
      </c>
      <c r="B81" s="30" t="s">
        <v>1185</v>
      </c>
      <c r="C81" s="31" t="s">
        <v>949</v>
      </c>
      <c r="D81" s="30" t="s">
        <v>66</v>
      </c>
      <c r="E81" s="31" t="s">
        <v>864</v>
      </c>
      <c r="F81" s="30" t="s">
        <v>66</v>
      </c>
      <c r="G81" s="30" t="s">
        <v>1186</v>
      </c>
      <c r="H81" s="31" t="s">
        <v>1187</v>
      </c>
      <c r="I81" s="31" t="s">
        <v>1188</v>
      </c>
      <c r="J81" s="31" t="s">
        <v>88</v>
      </c>
      <c r="K81" s="31"/>
    </row>
    <row r="82" customFormat="false" ht="72.35" hidden="false" customHeight="false" outlineLevel="0" collapsed="false">
      <c r="A82" s="31" t="n">
        <v>81</v>
      </c>
      <c r="B82" s="31" t="s">
        <v>1189</v>
      </c>
      <c r="C82" s="31" t="s">
        <v>949</v>
      </c>
      <c r="D82" s="30" t="s">
        <v>66</v>
      </c>
      <c r="E82" s="31" t="s">
        <v>864</v>
      </c>
      <c r="F82" s="30" t="s">
        <v>66</v>
      </c>
      <c r="G82" s="30" t="s">
        <v>1190</v>
      </c>
      <c r="H82" s="31" t="s">
        <v>1191</v>
      </c>
      <c r="I82" s="31" t="s">
        <v>1192</v>
      </c>
      <c r="J82" s="31" t="s">
        <v>104</v>
      </c>
      <c r="K82" s="31"/>
    </row>
    <row r="83" customFormat="false" ht="68.65" hidden="false" customHeight="false" outlineLevel="0" collapsed="false">
      <c r="A83" s="35" t="s">
        <v>1193</v>
      </c>
      <c r="B83" s="31" t="s">
        <v>1194</v>
      </c>
      <c r="C83" s="30" t="s">
        <v>26</v>
      </c>
      <c r="D83" s="30" t="s">
        <v>26</v>
      </c>
      <c r="E83" s="31" t="s">
        <v>859</v>
      </c>
      <c r="F83" s="30" t="s">
        <v>25</v>
      </c>
      <c r="G83" s="30" t="s">
        <v>1195</v>
      </c>
      <c r="H83" s="31" t="s">
        <v>1196</v>
      </c>
      <c r="I83" s="31" t="s">
        <v>1197</v>
      </c>
      <c r="J83" s="31" t="s">
        <v>88</v>
      </c>
      <c r="K83" s="31"/>
    </row>
    <row r="84" customFormat="false" ht="135.8" hidden="false" customHeight="false" outlineLevel="0" collapsed="false">
      <c r="A84" s="35" t="s">
        <v>1198</v>
      </c>
      <c r="B84" s="31" t="s">
        <v>1199</v>
      </c>
      <c r="C84" s="31" t="s">
        <v>1200</v>
      </c>
      <c r="D84" s="30" t="s">
        <v>1201</v>
      </c>
      <c r="E84" s="31" t="s">
        <v>1202</v>
      </c>
      <c r="F84" s="31" t="s">
        <v>21</v>
      </c>
      <c r="G84" s="30" t="s">
        <v>1203</v>
      </c>
      <c r="H84" s="31" t="s">
        <v>1204</v>
      </c>
      <c r="I84" s="31" t="s">
        <v>1205</v>
      </c>
      <c r="J84" s="31" t="s">
        <v>88</v>
      </c>
      <c r="K84" s="31"/>
    </row>
    <row r="85" customFormat="false" ht="72.35" hidden="false" customHeight="false" outlineLevel="0" collapsed="false">
      <c r="A85" s="35" t="s">
        <v>1206</v>
      </c>
      <c r="B85" s="31" t="s">
        <v>1207</v>
      </c>
      <c r="C85" s="31" t="s">
        <v>1208</v>
      </c>
      <c r="D85" s="30" t="s">
        <v>36</v>
      </c>
      <c r="E85" s="31" t="s">
        <v>892</v>
      </c>
      <c r="F85" s="30" t="s">
        <v>25</v>
      </c>
      <c r="G85" s="30" t="s">
        <v>1209</v>
      </c>
      <c r="H85" s="31" t="s">
        <v>1210</v>
      </c>
      <c r="I85" s="31" t="s">
        <v>1211</v>
      </c>
      <c r="J85" s="31" t="s">
        <v>88</v>
      </c>
      <c r="K85" s="31"/>
    </row>
    <row r="86" customFormat="false" ht="72.35" hidden="false" customHeight="false" outlineLevel="0" collapsed="false">
      <c r="A86" s="35" t="s">
        <v>1212</v>
      </c>
      <c r="B86" s="31" t="s">
        <v>1213</v>
      </c>
      <c r="C86" s="31" t="s">
        <v>1214</v>
      </c>
      <c r="D86" s="30" t="s">
        <v>40</v>
      </c>
      <c r="E86" s="31" t="s">
        <v>886</v>
      </c>
      <c r="F86" s="30" t="s">
        <v>25</v>
      </c>
      <c r="G86" s="30" t="s">
        <v>1215</v>
      </c>
      <c r="H86" s="31" t="s">
        <v>1216</v>
      </c>
      <c r="I86" s="31" t="s">
        <v>1217</v>
      </c>
      <c r="J86" s="31" t="s">
        <v>88</v>
      </c>
      <c r="K86" s="31"/>
    </row>
    <row r="87" customFormat="false" ht="86.55" hidden="false" customHeight="false" outlineLevel="0" collapsed="false">
      <c r="A87" s="35" t="s">
        <v>1218</v>
      </c>
      <c r="B87" s="31" t="s">
        <v>1219</v>
      </c>
      <c r="C87" s="31" t="s">
        <v>1220</v>
      </c>
      <c r="D87" s="30" t="s">
        <v>1221</v>
      </c>
      <c r="E87" s="31" t="s">
        <v>1222</v>
      </c>
      <c r="F87" s="30" t="s">
        <v>47</v>
      </c>
      <c r="G87" s="30" t="s">
        <v>1223</v>
      </c>
      <c r="H87" s="31" t="s">
        <v>1224</v>
      </c>
      <c r="I87" s="31" t="s">
        <v>1225</v>
      </c>
      <c r="J87" s="31" t="s">
        <v>88</v>
      </c>
      <c r="K87" s="31"/>
    </row>
    <row r="88" customFormat="false" ht="72.35" hidden="false" customHeight="false" outlineLevel="0" collapsed="false">
      <c r="A88" s="35" t="s">
        <v>1226</v>
      </c>
      <c r="B88" s="31" t="s">
        <v>1227</v>
      </c>
      <c r="C88" s="31" t="s">
        <v>1228</v>
      </c>
      <c r="D88" s="30" t="s">
        <v>61</v>
      </c>
      <c r="E88" s="31" t="s">
        <v>62</v>
      </c>
      <c r="F88" s="30" t="s">
        <v>47</v>
      </c>
      <c r="G88" s="30" t="s">
        <v>1229</v>
      </c>
      <c r="H88" s="31" t="s">
        <v>1230</v>
      </c>
      <c r="I88" s="31" t="s">
        <v>1231</v>
      </c>
      <c r="J88" s="31" t="s">
        <v>104</v>
      </c>
      <c r="K88" s="31"/>
    </row>
  </sheetData>
  <autoFilter ref="A1:K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30"/>
    <col collapsed="false" customWidth="true" hidden="false" outlineLevel="0" max="6" min="6" style="0" width="40"/>
  </cols>
  <sheetData>
    <row r="1" customFormat="false" ht="37.3" hidden="false" customHeight="false" outlineLevel="0" collapsed="false">
      <c r="A1" s="57" t="s">
        <v>1232</v>
      </c>
    </row>
    <row r="2" customFormat="false" ht="15" hidden="false" customHeight="false" outlineLevel="0" collapsed="false">
      <c r="A2" s="55" t="s">
        <v>1233</v>
      </c>
      <c r="B2" s="55" t="s">
        <v>1234</v>
      </c>
      <c r="C2" s="55" t="s">
        <v>1235</v>
      </c>
      <c r="D2" s="55" t="s">
        <v>1236</v>
      </c>
      <c r="E2" s="55" t="s">
        <v>1237</v>
      </c>
    </row>
    <row r="3" customFormat="false" ht="29.85" hidden="false" customHeight="false" outlineLevel="0" collapsed="false">
      <c r="A3" s="31" t="s">
        <v>1238</v>
      </c>
      <c r="B3" s="30" t="s">
        <v>957</v>
      </c>
      <c r="C3" s="31" t="s">
        <v>21</v>
      </c>
      <c r="D3" s="31" t="s">
        <v>21</v>
      </c>
      <c r="E3" s="30" t="s">
        <v>1239</v>
      </c>
    </row>
    <row r="4" customFormat="false" ht="15" hidden="false" customHeight="false" outlineLevel="0" collapsed="false">
      <c r="A4" s="31" t="s">
        <v>1240</v>
      </c>
      <c r="B4" s="30" t="s">
        <v>1241</v>
      </c>
      <c r="C4" s="30" t="s">
        <v>1242</v>
      </c>
      <c r="D4" s="31" t="s">
        <v>1243</v>
      </c>
      <c r="E4" s="30" t="s">
        <v>1244</v>
      </c>
    </row>
    <row r="5" customFormat="false" ht="15" hidden="false" customHeight="false" outlineLevel="0" collapsed="false">
      <c r="A5" s="31" t="s">
        <v>1245</v>
      </c>
      <c r="B5" s="30" t="s">
        <v>1246</v>
      </c>
      <c r="C5" s="31" t="s">
        <v>1247</v>
      </c>
      <c r="D5" s="31" t="s">
        <v>1248</v>
      </c>
      <c r="E5" s="30" t="s">
        <v>1249</v>
      </c>
    </row>
    <row r="6" customFormat="false" ht="15" hidden="false" customHeight="false" outlineLevel="0" collapsed="false">
      <c r="A6" s="31" t="s">
        <v>1250</v>
      </c>
      <c r="B6" s="30" t="s">
        <v>1251</v>
      </c>
      <c r="C6" s="31" t="s">
        <v>1252</v>
      </c>
      <c r="D6" s="31" t="s">
        <v>1253</v>
      </c>
      <c r="E6" s="30" t="s">
        <v>1254</v>
      </c>
    </row>
    <row r="7" customFormat="false" ht="15" hidden="false" customHeight="false" outlineLevel="0" collapsed="false">
      <c r="A7" s="31" t="s">
        <v>1255</v>
      </c>
      <c r="B7" s="30" t="s">
        <v>1256</v>
      </c>
      <c r="C7" s="31" t="s">
        <v>21</v>
      </c>
      <c r="D7" s="31" t="s">
        <v>21</v>
      </c>
      <c r="E7" s="31"/>
    </row>
    <row r="9" customFormat="false" ht="55.2" hidden="false" customHeight="false" outlineLevel="0" collapsed="false">
      <c r="A9" s="58" t="s">
        <v>1257</v>
      </c>
    </row>
    <row r="10" customFormat="false" ht="15" hidden="false" customHeight="false" outlineLevel="0" collapsed="false">
      <c r="A10" s="55"/>
      <c r="B10" s="54" t="s">
        <v>1258</v>
      </c>
      <c r="C10" s="54" t="s">
        <v>1259</v>
      </c>
      <c r="D10" s="54" t="s">
        <v>1260</v>
      </c>
      <c r="E10" s="55" t="s">
        <v>1237</v>
      </c>
    </row>
    <row r="11" customFormat="false" ht="54.75" hidden="false" customHeight="true" outlineLevel="0" collapsed="false">
      <c r="A11" s="59" t="s">
        <v>1261</v>
      </c>
      <c r="B11" s="31" t="s">
        <v>1262</v>
      </c>
      <c r="C11" s="31" t="s">
        <v>1263</v>
      </c>
      <c r="D11" s="31" t="s">
        <v>1264</v>
      </c>
      <c r="E11" s="30" t="s">
        <v>1265</v>
      </c>
    </row>
    <row r="12" customFormat="false" ht="54.75" hidden="false" customHeight="true" outlineLevel="0" collapsed="false">
      <c r="A12" s="59" t="s">
        <v>1266</v>
      </c>
      <c r="B12" s="31" t="s">
        <v>1267</v>
      </c>
      <c r="C12" s="31" t="s">
        <v>1268</v>
      </c>
      <c r="D12" s="31" t="s">
        <v>1269</v>
      </c>
      <c r="E12" s="31"/>
    </row>
    <row r="13" customFormat="false" ht="54.75" hidden="false" customHeight="true" outlineLevel="0" collapsed="false">
      <c r="A13" s="59" t="s">
        <v>1270</v>
      </c>
      <c r="B13" s="31" t="s">
        <v>1271</v>
      </c>
      <c r="C13" s="31" t="s">
        <v>1272</v>
      </c>
      <c r="D13" s="31" t="s">
        <v>1273</v>
      </c>
      <c r="E13" s="31"/>
    </row>
    <row r="14" customFormat="false" ht="54.75" hidden="false" customHeight="true" outlineLevel="0" collapsed="false">
      <c r="A14" s="59" t="s">
        <v>1274</v>
      </c>
      <c r="B14" s="31" t="s">
        <v>1275</v>
      </c>
      <c r="C14" s="31" t="s">
        <v>1276</v>
      </c>
      <c r="D14" s="31" t="s">
        <v>1277</v>
      </c>
      <c r="E14" s="31"/>
    </row>
    <row r="15" customFormat="false" ht="124.5" hidden="false" customHeight="true" outlineLevel="0" collapsed="false">
      <c r="A15" s="59" t="s">
        <v>1278</v>
      </c>
      <c r="B15" s="60" t="s">
        <v>1279</v>
      </c>
      <c r="C15" s="60" t="s">
        <v>1280</v>
      </c>
      <c r="D15" s="60" t="s">
        <v>1281</v>
      </c>
      <c r="E15" s="36" t="s">
        <v>1282</v>
      </c>
    </row>
    <row r="16" customFormat="false" ht="54.75" hidden="false" customHeight="true" outlineLevel="0" collapsed="false">
      <c r="A16" s="59" t="s">
        <v>1283</v>
      </c>
      <c r="B16" s="30" t="s">
        <v>1284</v>
      </c>
      <c r="C16" s="30" t="s">
        <v>1285</v>
      </c>
      <c r="D16" s="30" t="s">
        <v>1286</v>
      </c>
      <c r="E16" s="30" t="s">
        <v>1287</v>
      </c>
    </row>
    <row r="18" customFormat="false" ht="30" hidden="false" customHeight="true" outlineLevel="0" collapsed="false">
      <c r="A18" s="61" t="s">
        <v>1288</v>
      </c>
      <c r="B18" s="61"/>
      <c r="C18" s="61"/>
      <c r="D18" s="61"/>
      <c r="E18" s="61"/>
    </row>
    <row r="19" customFormat="false" ht="30" hidden="false" customHeight="true" outlineLevel="0" collapsed="false">
      <c r="A19" s="61" t="s">
        <v>1289</v>
      </c>
      <c r="B19" s="61"/>
      <c r="C19" s="61"/>
      <c r="D19" s="61"/>
      <c r="E19" s="61"/>
    </row>
    <row r="20" customFormat="false" ht="30" hidden="false" customHeight="true" outlineLevel="0" collapsed="false">
      <c r="A20" s="61" t="s">
        <v>1290</v>
      </c>
      <c r="B20" s="61"/>
      <c r="C20" s="61"/>
      <c r="D20" s="61"/>
      <c r="E20" s="61"/>
    </row>
  </sheetData>
  <mergeCells count="3"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1" min="11" style="0" width="60"/>
  </cols>
  <sheetData>
    <row r="1" customFormat="false" ht="30" hidden="false" customHeight="true" outlineLevel="0" collapsed="false">
      <c r="A1" s="6" t="s">
        <v>1291</v>
      </c>
      <c r="B1" s="6" t="s">
        <v>1292</v>
      </c>
      <c r="C1" s="6" t="s">
        <v>855</v>
      </c>
      <c r="D1" s="6" t="s">
        <v>1293</v>
      </c>
      <c r="E1" s="6" t="s">
        <v>1294</v>
      </c>
      <c r="F1" s="6" t="s">
        <v>1295</v>
      </c>
      <c r="G1" s="6" t="s">
        <v>1296</v>
      </c>
      <c r="H1" s="7" t="s">
        <v>1297</v>
      </c>
      <c r="I1" s="6" t="s">
        <v>1298</v>
      </c>
      <c r="K1" s="3" t="s">
        <v>1299</v>
      </c>
    </row>
    <row r="2" customFormat="false" ht="15" hidden="false" customHeight="false" outlineLevel="0" collapsed="false">
      <c r="A2" s="62" t="s">
        <v>1300</v>
      </c>
      <c r="B2" s="62" t="s">
        <v>1301</v>
      </c>
      <c r="C2" s="62" t="s">
        <v>140</v>
      </c>
      <c r="D2" s="62" t="str">
        <f aca="false">IF(C2="","",IFERROR(INDEX('动作库 Exercises'!$B:$B,MATCH(C2,'动作库 Exercises'!$A:$A,0)),"未找到ID"))</f>
        <v>腿举</v>
      </c>
      <c r="E2" s="62" t="n">
        <v>1</v>
      </c>
      <c r="F2" s="62" t="n">
        <v>180</v>
      </c>
      <c r="G2" s="62" t="n">
        <v>10</v>
      </c>
      <c r="H2" s="62" t="n">
        <v>7</v>
      </c>
      <c r="I2" s="63" t="s">
        <v>1302</v>
      </c>
    </row>
    <row r="3" customFormat="false" ht="15" hidden="false" customHeight="false" outlineLevel="0" collapsed="false">
      <c r="A3" s="2"/>
      <c r="B3" s="2"/>
      <c r="C3" s="2"/>
      <c r="D3" s="2" t="str">
        <f aca="false">IF(C3="","",IFERROR(INDEX('动作库 Exercises'!$B:$B,MATCH(C3,'动作库 Exercises'!$A:$A,0)),"未找到ID"))</f>
        <v/>
      </c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 t="str">
        <f aca="false">IF(C4="","",IFERROR(INDEX('动作库 Exercises'!$B:$B,MATCH(C4,'动作库 Exercises'!$A:$A,0)),"未找到ID"))</f>
        <v/>
      </c>
      <c r="E4" s="2"/>
      <c r="F4" s="2"/>
      <c r="G4" s="2"/>
      <c r="H4" s="2"/>
      <c r="I4" s="2"/>
    </row>
    <row r="5" customFormat="false" ht="15" hidden="false" customHeight="false" outlineLevel="0" collapsed="false">
      <c r="A5" s="2"/>
      <c r="B5" s="2"/>
      <c r="C5" s="2"/>
      <c r="D5" s="2" t="str">
        <f aca="false">IF(C5="","",IFERROR(INDEX('动作库 Exercises'!$B:$B,MATCH(C5,'动作库 Exercises'!$A:$A,0)),"未找到ID"))</f>
        <v/>
      </c>
      <c r="E5" s="2"/>
      <c r="F5" s="2"/>
      <c r="G5" s="2"/>
      <c r="H5" s="2"/>
      <c r="I5" s="2"/>
    </row>
    <row r="6" customFormat="false" ht="15" hidden="false" customHeight="false" outlineLevel="0" collapsed="false">
      <c r="A6" s="2"/>
      <c r="B6" s="2"/>
      <c r="C6" s="2"/>
      <c r="D6" s="2" t="str">
        <f aca="false">IF(C6="","",IFERROR(INDEX('动作库 Exercises'!$B:$B,MATCH(C6,'动作库 Exercises'!$A:$A,0)),"未找到ID"))</f>
        <v/>
      </c>
      <c r="E6" s="2"/>
      <c r="F6" s="2"/>
      <c r="G6" s="2"/>
      <c r="H6" s="2"/>
      <c r="I6" s="2"/>
    </row>
    <row r="7" customFormat="false" ht="15" hidden="false" customHeight="false" outlineLevel="0" collapsed="false">
      <c r="A7" s="2"/>
      <c r="B7" s="2"/>
      <c r="C7" s="2"/>
      <c r="D7" s="2" t="str">
        <f aca="false">IF(C7="","",IFERROR(INDEX('动作库 Exercises'!$B:$B,MATCH(C7,'动作库 Exercises'!$A:$A,0)),"未找到ID"))</f>
        <v/>
      </c>
      <c r="E7" s="2"/>
      <c r="F7" s="2"/>
      <c r="G7" s="2"/>
      <c r="H7" s="2"/>
      <c r="I7" s="2"/>
    </row>
    <row r="8" customFormat="false" ht="15" hidden="false" customHeight="false" outlineLevel="0" collapsed="false">
      <c r="A8" s="2"/>
      <c r="B8" s="2"/>
      <c r="C8" s="2"/>
      <c r="D8" s="2" t="str">
        <f aca="false">IF(C8="","",IFERROR(INDEX('动作库 Exercises'!$B:$B,MATCH(C8,'动作库 Exercises'!$A:$A,0)),"未找到ID"))</f>
        <v/>
      </c>
      <c r="E8" s="2"/>
      <c r="F8" s="2"/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 t="str">
        <f aca="false">IF(C9="","",IFERROR(INDEX('动作库 Exercises'!$B:$B,MATCH(C9,'动作库 Exercises'!$A:$A,0)),"未找到ID"))</f>
        <v/>
      </c>
      <c r="E9" s="2"/>
      <c r="F9" s="2"/>
      <c r="G9" s="2"/>
      <c r="H9" s="2"/>
      <c r="I9" s="2"/>
    </row>
    <row r="10" customFormat="false" ht="15" hidden="false" customHeight="false" outlineLevel="0" collapsed="false">
      <c r="A10" s="2"/>
      <c r="B10" s="2"/>
      <c r="C10" s="2"/>
      <c r="D10" s="2" t="str">
        <f aca="false">IF(C10="","",IFERROR(INDEX('动作库 Exercises'!$B:$B,MATCH(C10,'动作库 Exercises'!$A:$A,0)),"未找到ID"))</f>
        <v/>
      </c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2"/>
      <c r="C11" s="2"/>
      <c r="D11" s="2" t="str">
        <f aca="false">IF(C11="","",IFERROR(INDEX('动作库 Exercises'!$B:$B,MATCH(C11,'动作库 Exercises'!$A:$A,0)),"未找到ID"))</f>
        <v/>
      </c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 t="str">
        <f aca="false">IF(C12="","",IFERROR(INDEX('动作库 Exercises'!$B:$B,MATCH(C12,'动作库 Exercises'!$A:$A,0)),"未找到ID"))</f>
        <v/>
      </c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2"/>
      <c r="C13" s="2"/>
      <c r="D13" s="2" t="str">
        <f aca="false">IF(C13="","",IFERROR(INDEX('动作库 Exercises'!$B:$B,MATCH(C13,'动作库 Exercises'!$A:$A,0)),"未找到ID"))</f>
        <v/>
      </c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 t="str">
        <f aca="false">IF(C14="","",IFERROR(INDEX('动作库 Exercises'!$B:$B,MATCH(C14,'动作库 Exercises'!$A:$A,0)),"未找到ID"))</f>
        <v/>
      </c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 t="str">
        <f aca="false">IF(C15="","",IFERROR(INDEX('动作库 Exercises'!$B:$B,MATCH(C15,'动作库 Exercises'!$A:$A,0)),"未找到ID"))</f>
        <v/>
      </c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 t="str">
        <f aca="false">IF(C16="","",IFERROR(INDEX('动作库 Exercises'!$B:$B,MATCH(C16,'动作库 Exercises'!$A:$A,0)),"未找到ID"))</f>
        <v/>
      </c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 t="str">
        <f aca="false">IF(C17="","",IFERROR(INDEX('动作库 Exercises'!$B:$B,MATCH(C17,'动作库 Exercises'!$A:$A,0)),"未找到ID"))</f>
        <v/>
      </c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 t="str">
        <f aca="false">IF(C18="","",IFERROR(INDEX('动作库 Exercises'!$B:$B,MATCH(C18,'动作库 Exercises'!$A:$A,0)),"未找到ID"))</f>
        <v/>
      </c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 t="str">
        <f aca="false">IF(C19="","",IFERROR(INDEX('动作库 Exercises'!$B:$B,MATCH(C19,'动作库 Exercises'!$A:$A,0)),"未找到ID"))</f>
        <v/>
      </c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 t="str">
        <f aca="false">IF(C20="","",IFERROR(INDEX('动作库 Exercises'!$B:$B,MATCH(C20,'动作库 Exercises'!$A:$A,0)),"未找到ID"))</f>
        <v/>
      </c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 t="str">
        <f aca="false">IF(C21="","",IFERROR(INDEX('动作库 Exercises'!$B:$B,MATCH(C21,'动作库 Exercises'!$A:$A,0)),"未找到ID"))</f>
        <v/>
      </c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 t="str">
        <f aca="false">IF(C22="","",IFERROR(INDEX('动作库 Exercises'!$B:$B,MATCH(C22,'动作库 Exercises'!$A:$A,0)),"未找到ID"))</f>
        <v/>
      </c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 t="str">
        <f aca="false">IF(C23="","",IFERROR(INDEX('动作库 Exercises'!$B:$B,MATCH(C23,'动作库 Exercises'!$A:$A,0)),"未找到ID"))</f>
        <v/>
      </c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 t="str">
        <f aca="false">IF(C24="","",IFERROR(INDEX('动作库 Exercises'!$B:$B,MATCH(C24,'动作库 Exercises'!$A:$A,0)),"未找到ID"))</f>
        <v/>
      </c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 t="str">
        <f aca="false">IF(C25="","",IFERROR(INDEX('动作库 Exercises'!$B:$B,MATCH(C25,'动作库 Exercises'!$A:$A,0)),"未找到ID"))</f>
        <v/>
      </c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 t="str">
        <f aca="false">IF(C26="","",IFERROR(INDEX('动作库 Exercises'!$B:$B,MATCH(C26,'动作库 Exercises'!$A:$A,0)),"未找到ID"))</f>
        <v/>
      </c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 t="str">
        <f aca="false">IF(C27="","",IFERROR(INDEX('动作库 Exercises'!$B:$B,MATCH(C27,'动作库 Exercises'!$A:$A,0)),"未找到ID"))</f>
        <v/>
      </c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 t="str">
        <f aca="false">IF(C28="","",IFERROR(INDEX('动作库 Exercises'!$B:$B,MATCH(C28,'动作库 Exercises'!$A:$A,0)),"未找到ID"))</f>
        <v/>
      </c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 t="str">
        <f aca="false">IF(C29="","",IFERROR(INDEX('动作库 Exercises'!$B:$B,MATCH(C29,'动作库 Exercises'!$A:$A,0)),"未找到ID"))</f>
        <v/>
      </c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 t="str">
        <f aca="false">IF(C30="","",IFERROR(INDEX('动作库 Exercises'!$B:$B,MATCH(C30,'动作库 Exercises'!$A:$A,0)),"未找到ID"))</f>
        <v/>
      </c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 t="str">
        <f aca="false">IF(C31="","",IFERROR(INDEX('动作库 Exercises'!$B:$B,MATCH(C31,'动作库 Exercises'!$A:$A,0)),"未找到ID"))</f>
        <v/>
      </c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 t="str">
        <f aca="false">IF(C32="","",IFERROR(INDEX('动作库 Exercises'!$B:$B,MATCH(C32,'动作库 Exercises'!$A:$A,0)),"未找到ID"))</f>
        <v/>
      </c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 t="str">
        <f aca="false">IF(C33="","",IFERROR(INDEX('动作库 Exercises'!$B:$B,MATCH(C33,'动作库 Exercises'!$A:$A,0)),"未找到ID"))</f>
        <v/>
      </c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 t="str">
        <f aca="false">IF(C34="","",IFERROR(INDEX('动作库 Exercises'!$B:$B,MATCH(C34,'动作库 Exercises'!$A:$A,0)),"未找到ID"))</f>
        <v/>
      </c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 t="str">
        <f aca="false">IF(C35="","",IFERROR(INDEX('动作库 Exercises'!$B:$B,MATCH(C35,'动作库 Exercises'!$A:$A,0)),"未找到ID"))</f>
        <v/>
      </c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 t="str">
        <f aca="false">IF(C36="","",IFERROR(INDEX('动作库 Exercises'!$B:$B,MATCH(C36,'动作库 Exercises'!$A:$A,0)),"未找到ID"))</f>
        <v/>
      </c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 t="str">
        <f aca="false">IF(C37="","",IFERROR(INDEX('动作库 Exercises'!$B:$B,MATCH(C37,'动作库 Exercises'!$A:$A,0)),"未找到ID"))</f>
        <v/>
      </c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 t="str">
        <f aca="false">IF(C38="","",IFERROR(INDEX('动作库 Exercises'!$B:$B,MATCH(C38,'动作库 Exercises'!$A:$A,0)),"未找到ID"))</f>
        <v/>
      </c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 t="str">
        <f aca="false">IF(C39="","",IFERROR(INDEX('动作库 Exercises'!$B:$B,MATCH(C39,'动作库 Exercises'!$A:$A,0)),"未找到ID"))</f>
        <v/>
      </c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 t="str">
        <f aca="false">IF(C40="","",IFERROR(INDEX('动作库 Exercises'!$B:$B,MATCH(C40,'动作库 Exercises'!$A:$A,0)),"未找到ID"))</f>
        <v/>
      </c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 t="str">
        <f aca="false">IF(C41="","",IFERROR(INDEX('动作库 Exercises'!$B:$B,MATCH(C41,'动作库 Exercises'!$A:$A,0)),"未找到ID"))</f>
        <v/>
      </c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 t="str">
        <f aca="false">IF(C42="","",IFERROR(INDEX('动作库 Exercises'!$B:$B,MATCH(C42,'动作库 Exercises'!$A:$A,0)),"未找到ID"))</f>
        <v/>
      </c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 t="str">
        <f aca="false">IF(C43="","",IFERROR(INDEX('动作库 Exercises'!$B:$B,MATCH(C43,'动作库 Exercises'!$A:$A,0)),"未找到ID"))</f>
        <v/>
      </c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 t="str">
        <f aca="false">IF(C44="","",IFERROR(INDEX('动作库 Exercises'!$B:$B,MATCH(C44,'动作库 Exercises'!$A:$A,0)),"未找到ID"))</f>
        <v/>
      </c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 t="str">
        <f aca="false">IF(C45="","",IFERROR(INDEX('动作库 Exercises'!$B:$B,MATCH(C45,'动作库 Exercises'!$A:$A,0)),"未找到ID"))</f>
        <v/>
      </c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 t="str">
        <f aca="false">IF(C46="","",IFERROR(INDEX('动作库 Exercises'!$B:$B,MATCH(C46,'动作库 Exercises'!$A:$A,0)),"未找到ID"))</f>
        <v/>
      </c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 t="str">
        <f aca="false">IF(C47="","",IFERROR(INDEX('动作库 Exercises'!$B:$B,MATCH(C47,'动作库 Exercises'!$A:$A,0)),"未找到ID"))</f>
        <v/>
      </c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 t="str">
        <f aca="false">IF(C48="","",IFERROR(INDEX('动作库 Exercises'!$B:$B,MATCH(C48,'动作库 Exercises'!$A:$A,0)),"未找到ID"))</f>
        <v/>
      </c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 t="str">
        <f aca="false">IF(C49="","",IFERROR(INDEX('动作库 Exercises'!$B:$B,MATCH(C49,'动作库 Exercises'!$A:$A,0)),"未找到ID"))</f>
        <v/>
      </c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 t="str">
        <f aca="false">IF(C50="","",IFERROR(INDEX('动作库 Exercises'!$B:$B,MATCH(C50,'动作库 Exercises'!$A:$A,0)),"未找到ID"))</f>
        <v/>
      </c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 t="str">
        <f aca="false">IF(C51="","",IFERROR(INDEX('动作库 Exercises'!$B:$B,MATCH(C51,'动作库 Exercises'!$A:$A,0)),"未找到ID"))</f>
        <v/>
      </c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 t="str">
        <f aca="false">IF(C52="","",IFERROR(INDEX('动作库 Exercises'!$B:$B,MATCH(C52,'动作库 Exercises'!$A:$A,0)),"未找到ID"))</f>
        <v/>
      </c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 t="str">
        <f aca="false">IF(C53="","",IFERROR(INDEX('动作库 Exercises'!$B:$B,MATCH(C53,'动作库 Exercises'!$A:$A,0)),"未找到ID"))</f>
        <v/>
      </c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 t="str">
        <f aca="false">IF(C54="","",IFERROR(INDEX('动作库 Exercises'!$B:$B,MATCH(C54,'动作库 Exercises'!$A:$A,0)),"未找到ID"))</f>
        <v/>
      </c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 t="str">
        <f aca="false">IF(C55="","",IFERROR(INDEX('动作库 Exercises'!$B:$B,MATCH(C55,'动作库 Exercises'!$A:$A,0)),"未找到ID"))</f>
        <v/>
      </c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 t="str">
        <f aca="false">IF(C56="","",IFERROR(INDEX('动作库 Exercises'!$B:$B,MATCH(C56,'动作库 Exercises'!$A:$A,0)),"未找到ID"))</f>
        <v/>
      </c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 t="str">
        <f aca="false">IF(C57="","",IFERROR(INDEX('动作库 Exercises'!$B:$B,MATCH(C57,'动作库 Exercises'!$A:$A,0)),"未找到ID"))</f>
        <v/>
      </c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 t="str">
        <f aca="false">IF(C58="","",IFERROR(INDEX('动作库 Exercises'!$B:$B,MATCH(C58,'动作库 Exercises'!$A:$A,0)),"未找到ID"))</f>
        <v/>
      </c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 t="str">
        <f aca="false">IF(C59="","",IFERROR(INDEX('动作库 Exercises'!$B:$B,MATCH(C59,'动作库 Exercises'!$A:$A,0)),"未找到ID"))</f>
        <v/>
      </c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 t="str">
        <f aca="false">IF(C60="","",IFERROR(INDEX('动作库 Exercises'!$B:$B,MATCH(C60,'动作库 Exercises'!$A:$A,0)),"未找到ID"))</f>
        <v/>
      </c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 t="str">
        <f aca="false">IF(C61="","",IFERROR(INDEX('动作库 Exercises'!$B:$B,MATCH(C61,'动作库 Exercises'!$A:$A,0)),"未找到ID"))</f>
        <v/>
      </c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 t="str">
        <f aca="false">IF(C62="","",IFERROR(INDEX('动作库 Exercises'!$B:$B,MATCH(C62,'动作库 Exercises'!$A:$A,0)),"未找到ID"))</f>
        <v/>
      </c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 t="str">
        <f aca="false">IF(C63="","",IFERROR(INDEX('动作库 Exercises'!$B:$B,MATCH(C63,'动作库 Exercises'!$A:$A,0)),"未找到ID"))</f>
        <v/>
      </c>
      <c r="E63" s="2"/>
      <c r="F63" s="2"/>
      <c r="G63" s="2"/>
      <c r="H63" s="2"/>
      <c r="I63" s="2"/>
    </row>
    <row r="64" customFormat="false" ht="15" hidden="false" customHeight="false" outlineLevel="0" collapsed="false">
      <c r="A64" s="2"/>
      <c r="B64" s="2"/>
      <c r="C64" s="2"/>
      <c r="D64" s="2" t="str">
        <f aca="false">IF(C64="","",IFERROR(INDEX('动作库 Exercises'!$B:$B,MATCH(C64,'动作库 Exercises'!$A:$A,0)),"未找到ID"))</f>
        <v/>
      </c>
      <c r="E64" s="2"/>
      <c r="F64" s="2"/>
      <c r="G64" s="2"/>
      <c r="H64" s="2"/>
      <c r="I64" s="2"/>
    </row>
    <row r="65" customFormat="false" ht="15" hidden="false" customHeight="false" outlineLevel="0" collapsed="false">
      <c r="A65" s="2"/>
      <c r="B65" s="2"/>
      <c r="C65" s="2"/>
      <c r="D65" s="2" t="str">
        <f aca="false">IF(C65="","",IFERROR(INDEX('动作库 Exercises'!$B:$B,MATCH(C65,'动作库 Exercises'!$A:$A,0)),"未找到ID"))</f>
        <v/>
      </c>
      <c r="E65" s="2"/>
      <c r="F65" s="2"/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 t="str">
        <f aca="false">IF(C66="","",IFERROR(INDEX('动作库 Exercises'!$B:$B,MATCH(C66,'动作库 Exercises'!$A:$A,0)),"未找到ID"))</f>
        <v/>
      </c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 t="str">
        <f aca="false">IF(C67="","",IFERROR(INDEX('动作库 Exercises'!$B:$B,MATCH(C67,'动作库 Exercises'!$A:$A,0)),"未找到ID"))</f>
        <v/>
      </c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 t="str">
        <f aca="false">IF(C68="","",IFERROR(INDEX('动作库 Exercises'!$B:$B,MATCH(C68,'动作库 Exercises'!$A:$A,0)),"未找到ID"))</f>
        <v/>
      </c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 t="str">
        <f aca="false">IF(C69="","",IFERROR(INDEX('动作库 Exercises'!$B:$B,MATCH(C69,'动作库 Exercises'!$A:$A,0)),"未找到ID"))</f>
        <v/>
      </c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 t="str">
        <f aca="false">IF(C70="","",IFERROR(INDEX('动作库 Exercises'!$B:$B,MATCH(C70,'动作库 Exercises'!$A:$A,0)),"未找到ID"))</f>
        <v/>
      </c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 t="str">
        <f aca="false">IF(C71="","",IFERROR(INDEX('动作库 Exercises'!$B:$B,MATCH(C71,'动作库 Exercises'!$A:$A,0)),"未找到ID"))</f>
        <v/>
      </c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 t="str">
        <f aca="false">IF(C72="","",IFERROR(INDEX('动作库 Exercises'!$B:$B,MATCH(C72,'动作库 Exercises'!$A:$A,0)),"未找到ID"))</f>
        <v/>
      </c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 t="str">
        <f aca="false">IF(C73="","",IFERROR(INDEX('动作库 Exercises'!$B:$B,MATCH(C73,'动作库 Exercises'!$A:$A,0)),"未找到ID"))</f>
        <v/>
      </c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 t="str">
        <f aca="false">IF(C74="","",IFERROR(INDEX('动作库 Exercises'!$B:$B,MATCH(C74,'动作库 Exercises'!$A:$A,0)),"未找到ID"))</f>
        <v/>
      </c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 t="str">
        <f aca="false">IF(C75="","",IFERROR(INDEX('动作库 Exercises'!$B:$B,MATCH(C75,'动作库 Exercises'!$A:$A,0)),"未找到ID"))</f>
        <v/>
      </c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 t="str">
        <f aca="false">IF(C76="","",IFERROR(INDEX('动作库 Exercises'!$B:$B,MATCH(C76,'动作库 Exercises'!$A:$A,0)),"未找到ID"))</f>
        <v/>
      </c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 t="str">
        <f aca="false">IF(C77="","",IFERROR(INDEX('动作库 Exercises'!$B:$B,MATCH(C77,'动作库 Exercises'!$A:$A,0)),"未找到ID"))</f>
        <v/>
      </c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 t="str">
        <f aca="false">IF(C78="","",IFERROR(INDEX('动作库 Exercises'!$B:$B,MATCH(C78,'动作库 Exercises'!$A:$A,0)),"未找到ID"))</f>
        <v/>
      </c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 t="str">
        <f aca="false">IF(C79="","",IFERROR(INDEX('动作库 Exercises'!$B:$B,MATCH(C79,'动作库 Exercises'!$A:$A,0)),"未找到ID"))</f>
        <v/>
      </c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 t="str">
        <f aca="false">IF(C80="","",IFERROR(INDEX('动作库 Exercises'!$B:$B,MATCH(C80,'动作库 Exercises'!$A:$A,0)),"未找到ID"))</f>
        <v/>
      </c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 t="str">
        <f aca="false">IF(C81="","",IFERROR(INDEX('动作库 Exercises'!$B:$B,MATCH(C81,'动作库 Exercises'!$A:$A,0)),"未找到ID"))</f>
        <v/>
      </c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 t="str">
        <f aca="false">IF(C82="","",IFERROR(INDEX('动作库 Exercises'!$B:$B,MATCH(C82,'动作库 Exercises'!$A:$A,0)),"未找到ID"))</f>
        <v/>
      </c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 t="str">
        <f aca="false">IF(C83="","",IFERROR(INDEX('动作库 Exercises'!$B:$B,MATCH(C83,'动作库 Exercises'!$A:$A,0)),"未找到ID"))</f>
        <v/>
      </c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 t="str">
        <f aca="false">IF(C84="","",IFERROR(INDEX('动作库 Exercises'!$B:$B,MATCH(C84,'动作库 Exercises'!$A:$A,0)),"未找到ID"))</f>
        <v/>
      </c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 t="str">
        <f aca="false">IF(C85="","",IFERROR(INDEX('动作库 Exercises'!$B:$B,MATCH(C85,'动作库 Exercises'!$A:$A,0)),"未找到ID"))</f>
        <v/>
      </c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 t="str">
        <f aca="false">IF(C86="","",IFERROR(INDEX('动作库 Exercises'!$B:$B,MATCH(C86,'动作库 Exercises'!$A:$A,0)),"未找到ID"))</f>
        <v/>
      </c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 t="str">
        <f aca="false">IF(C87="","",IFERROR(INDEX('动作库 Exercises'!$B:$B,MATCH(C87,'动作库 Exercises'!$A:$A,0)),"未找到ID"))</f>
        <v/>
      </c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 t="str">
        <f aca="false">IF(C88="","",IFERROR(INDEX('动作库 Exercises'!$B:$B,MATCH(C88,'动作库 Exercises'!$A:$A,0)),"未找到ID"))</f>
        <v/>
      </c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 t="str">
        <f aca="false">IF(C89="","",IFERROR(INDEX('动作库 Exercises'!$B:$B,MATCH(C89,'动作库 Exercises'!$A:$A,0)),"未找到ID"))</f>
        <v/>
      </c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 t="str">
        <f aca="false">IF(C90="","",IFERROR(INDEX('动作库 Exercises'!$B:$B,MATCH(C90,'动作库 Exercises'!$A:$A,0)),"未找到ID"))</f>
        <v/>
      </c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 t="str">
        <f aca="false">IF(C91="","",IFERROR(INDEX('动作库 Exercises'!$B:$B,MATCH(C91,'动作库 Exercises'!$A:$A,0)),"未找到ID"))</f>
        <v/>
      </c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 t="str">
        <f aca="false">IF(C92="","",IFERROR(INDEX('动作库 Exercises'!$B:$B,MATCH(C92,'动作库 Exercises'!$A:$A,0)),"未找到ID"))</f>
        <v/>
      </c>
      <c r="E92" s="2"/>
      <c r="F92" s="2"/>
      <c r="G92" s="2"/>
      <c r="H92" s="2"/>
      <c r="I92" s="2"/>
    </row>
    <row r="93" customFormat="false" ht="15" hidden="false" customHeight="false" outlineLevel="0" collapsed="false">
      <c r="A93" s="2"/>
      <c r="B93" s="2"/>
      <c r="C93" s="2"/>
      <c r="D93" s="2" t="str">
        <f aca="false">IF(C93="","",IFERROR(INDEX('动作库 Exercises'!$B:$B,MATCH(C93,'动作库 Exercises'!$A:$A,0)),"未找到ID"))</f>
        <v/>
      </c>
      <c r="E93" s="2"/>
      <c r="F93" s="2"/>
      <c r="G93" s="2"/>
      <c r="H93" s="2"/>
      <c r="I93" s="2"/>
    </row>
    <row r="94" customFormat="false" ht="15" hidden="false" customHeight="false" outlineLevel="0" collapsed="false">
      <c r="A94" s="2"/>
      <c r="B94" s="2"/>
      <c r="C94" s="2"/>
      <c r="D94" s="2" t="str">
        <f aca="false">IF(C94="","",IFERROR(INDEX('动作库 Exercises'!$B:$B,MATCH(C94,'动作库 Exercises'!$A:$A,0)),"未找到ID"))</f>
        <v/>
      </c>
      <c r="E94" s="2"/>
      <c r="F94" s="2"/>
      <c r="G94" s="2"/>
      <c r="H94" s="2"/>
      <c r="I94" s="2"/>
    </row>
    <row r="95" customFormat="false" ht="15" hidden="false" customHeight="false" outlineLevel="0" collapsed="false">
      <c r="A95" s="2"/>
      <c r="B95" s="2"/>
      <c r="C95" s="2"/>
      <c r="D95" s="2" t="str">
        <f aca="false">IF(C95="","",IFERROR(INDEX('动作库 Exercises'!$B:$B,MATCH(C95,'动作库 Exercises'!$A:$A,0)),"未找到ID"))</f>
        <v/>
      </c>
      <c r="E95" s="2"/>
      <c r="F95" s="2"/>
      <c r="G95" s="2"/>
      <c r="H95" s="2"/>
      <c r="I95" s="2"/>
    </row>
    <row r="96" customFormat="false" ht="15" hidden="false" customHeight="false" outlineLevel="0" collapsed="false">
      <c r="A96" s="2"/>
      <c r="B96" s="2"/>
      <c r="C96" s="2"/>
      <c r="D96" s="2" t="str">
        <f aca="false">IF(C96="","",IFERROR(INDEX('动作库 Exercises'!$B:$B,MATCH(C96,'动作库 Exercises'!$A:$A,0)),"未找到ID"))</f>
        <v/>
      </c>
      <c r="E96" s="2"/>
      <c r="F96" s="2"/>
      <c r="G96" s="2"/>
      <c r="H96" s="2"/>
      <c r="I96" s="2"/>
    </row>
    <row r="97" customFormat="false" ht="15" hidden="false" customHeight="false" outlineLevel="0" collapsed="false">
      <c r="A97" s="2"/>
      <c r="B97" s="2"/>
      <c r="C97" s="2"/>
      <c r="D97" s="2" t="str">
        <f aca="false">IF(C97="","",IFERROR(INDEX('动作库 Exercises'!$B:$B,MATCH(C97,'动作库 Exercises'!$A:$A,0)),"未找到ID"))</f>
        <v/>
      </c>
      <c r="E97" s="2"/>
      <c r="F97" s="2"/>
      <c r="G97" s="2"/>
      <c r="H97" s="2"/>
      <c r="I97" s="2"/>
    </row>
    <row r="98" customFormat="false" ht="15" hidden="false" customHeight="false" outlineLevel="0" collapsed="false">
      <c r="A98" s="2"/>
      <c r="B98" s="2"/>
      <c r="C98" s="2"/>
      <c r="D98" s="2" t="str">
        <f aca="false">IF(C98="","",IFERROR(INDEX('动作库 Exercises'!$B:$B,MATCH(C98,'动作库 Exercises'!$A:$A,0)),"未找到ID"))</f>
        <v/>
      </c>
      <c r="E98" s="2"/>
      <c r="F98" s="2"/>
      <c r="G98" s="2"/>
      <c r="H98" s="2"/>
      <c r="I98" s="2"/>
    </row>
    <row r="99" customFormat="false" ht="15" hidden="false" customHeight="false" outlineLevel="0" collapsed="false">
      <c r="A99" s="2"/>
      <c r="B99" s="2"/>
      <c r="C99" s="2"/>
      <c r="D99" s="2" t="str">
        <f aca="false">IF(C99="","",IFERROR(INDEX('动作库 Exercises'!$B:$B,MATCH(C99,'动作库 Exercises'!$A:$A,0)),"未找到ID"))</f>
        <v/>
      </c>
      <c r="E99" s="2"/>
      <c r="F99" s="2"/>
      <c r="G99" s="2"/>
      <c r="H99" s="2"/>
      <c r="I99" s="2"/>
    </row>
    <row r="100" customFormat="false" ht="15" hidden="false" customHeight="false" outlineLevel="0" collapsed="false">
      <c r="A100" s="2"/>
      <c r="B100" s="2"/>
      <c r="C100" s="2"/>
      <c r="D100" s="2" t="str">
        <f aca="false">IF(C100="","",IFERROR(INDEX('动作库 Exercises'!$B:$B,MATCH(C100,'动作库 Exercises'!$A:$A,0)),"未找到ID"))</f>
        <v/>
      </c>
      <c r="E100" s="2"/>
      <c r="F100" s="2"/>
      <c r="G100" s="2"/>
      <c r="H100" s="2"/>
      <c r="I100" s="2"/>
    </row>
    <row r="101" customFormat="false" ht="15" hidden="false" customHeight="false" outlineLevel="0" collapsed="false">
      <c r="A101" s="2"/>
      <c r="B101" s="2"/>
      <c r="C101" s="2"/>
      <c r="D101" s="2" t="str">
        <f aca="false">IF(C101="","",IFERROR(INDEX('动作库 Exercises'!$B:$B,MATCH(C101,'动作库 Exercises'!$A:$A,0)),"未找到ID"))</f>
        <v/>
      </c>
      <c r="E101" s="2"/>
      <c r="F101" s="2"/>
      <c r="G101" s="2"/>
      <c r="H101" s="2"/>
      <c r="I101" s="2"/>
    </row>
    <row r="102" customFormat="false" ht="15" hidden="false" customHeight="false" outlineLevel="0" collapsed="false">
      <c r="A102" s="2"/>
      <c r="B102" s="2"/>
      <c r="C102" s="2"/>
      <c r="D102" s="2" t="str">
        <f aca="false">IF(C102="","",IFERROR(INDEX('动作库 Exercises'!$B:$B,MATCH(C102,'动作库 Exercises'!$A:$A,0)),"未找到ID"))</f>
        <v/>
      </c>
      <c r="E102" s="2"/>
      <c r="F102" s="2"/>
      <c r="G102" s="2"/>
      <c r="H102" s="2"/>
      <c r="I102" s="2"/>
    </row>
    <row r="103" customFormat="false" ht="15" hidden="false" customHeight="false" outlineLevel="0" collapsed="false">
      <c r="A103" s="2"/>
      <c r="B103" s="2"/>
      <c r="C103" s="2"/>
      <c r="D103" s="2" t="str">
        <f aca="false">IF(C103="","",IFERROR(INDEX('动作库 Exercises'!$B:$B,MATCH(C103,'动作库 Exercises'!$A:$A,0)),"未找到ID"))</f>
        <v/>
      </c>
      <c r="E103" s="2"/>
      <c r="F103" s="2"/>
      <c r="G103" s="2"/>
      <c r="H103" s="2"/>
      <c r="I103" s="2"/>
    </row>
    <row r="104" customFormat="false" ht="15" hidden="false" customHeight="false" outlineLevel="0" collapsed="false">
      <c r="A104" s="2"/>
      <c r="B104" s="2"/>
      <c r="C104" s="2"/>
      <c r="D104" s="2" t="str">
        <f aca="false">IF(C104="","",IFERROR(INDEX('动作库 Exercises'!$B:$B,MATCH(C104,'动作库 Exercises'!$A:$A,0)),"未找到ID"))</f>
        <v/>
      </c>
      <c r="E104" s="2"/>
      <c r="F104" s="2"/>
      <c r="G104" s="2"/>
      <c r="H104" s="2"/>
      <c r="I104" s="2"/>
    </row>
    <row r="105" customFormat="false" ht="15" hidden="false" customHeight="false" outlineLevel="0" collapsed="false">
      <c r="A105" s="2"/>
      <c r="B105" s="2"/>
      <c r="C105" s="2"/>
      <c r="D105" s="2" t="str">
        <f aca="false">IF(C105="","",IFERROR(INDEX('动作库 Exercises'!$B:$B,MATCH(C105,'动作库 Exercises'!$A:$A,0)),"未找到ID"))</f>
        <v/>
      </c>
      <c r="E105" s="2"/>
      <c r="F105" s="2"/>
      <c r="G105" s="2"/>
      <c r="H105" s="2"/>
      <c r="I105" s="2"/>
    </row>
    <row r="106" customFormat="false" ht="15" hidden="false" customHeight="false" outlineLevel="0" collapsed="false">
      <c r="A106" s="2"/>
      <c r="B106" s="2"/>
      <c r="C106" s="2"/>
      <c r="D106" s="2" t="str">
        <f aca="false">IF(C106="","",IFERROR(INDEX('动作库 Exercises'!$B:$B,MATCH(C106,'动作库 Exercises'!$A:$A,0)),"未找到ID"))</f>
        <v/>
      </c>
      <c r="E106" s="2"/>
      <c r="F106" s="2"/>
      <c r="G106" s="2"/>
      <c r="H106" s="2"/>
      <c r="I106" s="2"/>
    </row>
    <row r="107" customFormat="false" ht="15" hidden="false" customHeight="false" outlineLevel="0" collapsed="false">
      <c r="A107" s="2"/>
      <c r="B107" s="2"/>
      <c r="C107" s="2"/>
      <c r="D107" s="2" t="str">
        <f aca="false">IF(C107="","",IFERROR(INDEX('动作库 Exercises'!$B:$B,MATCH(C107,'动作库 Exercises'!$A:$A,0)),"未找到ID"))</f>
        <v/>
      </c>
      <c r="E107" s="2"/>
      <c r="F107" s="2"/>
      <c r="G107" s="2"/>
      <c r="H107" s="2"/>
      <c r="I107" s="2"/>
    </row>
    <row r="108" customFormat="false" ht="15" hidden="false" customHeight="false" outlineLevel="0" collapsed="false">
      <c r="A108" s="2"/>
      <c r="B108" s="2"/>
      <c r="C108" s="2"/>
      <c r="D108" s="2" t="str">
        <f aca="false">IF(C108="","",IFERROR(INDEX('动作库 Exercises'!$B:$B,MATCH(C108,'动作库 Exercises'!$A:$A,0)),"未找到ID"))</f>
        <v/>
      </c>
      <c r="E108" s="2"/>
      <c r="F108" s="2"/>
      <c r="G108" s="2"/>
      <c r="H108" s="2"/>
      <c r="I108" s="2"/>
    </row>
    <row r="109" customFormat="false" ht="15" hidden="false" customHeight="false" outlineLevel="0" collapsed="false">
      <c r="A109" s="2"/>
      <c r="B109" s="2"/>
      <c r="C109" s="2"/>
      <c r="D109" s="2" t="str">
        <f aca="false">IF(C109="","",IFERROR(INDEX('动作库 Exercises'!$B:$B,MATCH(C109,'动作库 Exercises'!$A:$A,0)),"未找到ID"))</f>
        <v/>
      </c>
      <c r="E109" s="2"/>
      <c r="F109" s="2"/>
      <c r="G109" s="2"/>
      <c r="H109" s="2"/>
      <c r="I109" s="2"/>
    </row>
    <row r="110" customFormat="false" ht="15" hidden="false" customHeight="false" outlineLevel="0" collapsed="false">
      <c r="A110" s="2"/>
      <c r="B110" s="2"/>
      <c r="C110" s="2"/>
      <c r="D110" s="2" t="str">
        <f aca="false">IF(C110="","",IFERROR(INDEX('动作库 Exercises'!$B:$B,MATCH(C110,'动作库 Exercises'!$A:$A,0)),"未找到ID"))</f>
        <v/>
      </c>
      <c r="E110" s="2"/>
      <c r="F110" s="2"/>
      <c r="G110" s="2"/>
      <c r="H110" s="2"/>
      <c r="I110" s="2"/>
    </row>
    <row r="111" customFormat="false" ht="15" hidden="false" customHeight="false" outlineLevel="0" collapsed="false">
      <c r="A111" s="2"/>
      <c r="B111" s="2"/>
      <c r="C111" s="2"/>
      <c r="D111" s="2" t="str">
        <f aca="false">IF(C111="","",IFERROR(INDEX('动作库 Exercises'!$B:$B,MATCH(C111,'动作库 Exercises'!$A:$A,0)),"未找到ID"))</f>
        <v/>
      </c>
      <c r="E111" s="2"/>
      <c r="F111" s="2"/>
      <c r="G111" s="2"/>
      <c r="H111" s="2"/>
      <c r="I111" s="2"/>
    </row>
    <row r="112" customFormat="false" ht="15" hidden="false" customHeight="false" outlineLevel="0" collapsed="false">
      <c r="A112" s="2"/>
      <c r="B112" s="2"/>
      <c r="C112" s="2"/>
      <c r="D112" s="2" t="str">
        <f aca="false">IF(C112="","",IFERROR(INDEX('动作库 Exercises'!$B:$B,MATCH(C112,'动作库 Exercises'!$A:$A,0)),"未找到ID"))</f>
        <v/>
      </c>
      <c r="E112" s="2"/>
      <c r="F112" s="2"/>
      <c r="G112" s="2"/>
      <c r="H112" s="2"/>
      <c r="I112" s="2"/>
    </row>
    <row r="113" customFormat="false" ht="15" hidden="false" customHeight="false" outlineLevel="0" collapsed="false">
      <c r="A113" s="2"/>
      <c r="B113" s="2"/>
      <c r="C113" s="2"/>
      <c r="D113" s="2" t="str">
        <f aca="false">IF(C113="","",IFERROR(INDEX('动作库 Exercises'!$B:$B,MATCH(C113,'动作库 Exercises'!$A:$A,0)),"未找到ID"))</f>
        <v/>
      </c>
      <c r="E113" s="2"/>
      <c r="F113" s="2"/>
      <c r="G113" s="2"/>
      <c r="H113" s="2"/>
      <c r="I113" s="2"/>
    </row>
    <row r="114" customFormat="false" ht="15" hidden="false" customHeight="false" outlineLevel="0" collapsed="false">
      <c r="A114" s="2"/>
      <c r="B114" s="2"/>
      <c r="C114" s="2"/>
      <c r="D114" s="2" t="str">
        <f aca="false">IF(C114="","",IFERROR(INDEX('动作库 Exercises'!$B:$B,MATCH(C114,'动作库 Exercises'!$A:$A,0)),"未找到ID"))</f>
        <v/>
      </c>
      <c r="E114" s="2"/>
      <c r="F114" s="2"/>
      <c r="G114" s="2"/>
      <c r="H114" s="2"/>
      <c r="I114" s="2"/>
    </row>
    <row r="115" customFormat="false" ht="15" hidden="false" customHeight="false" outlineLevel="0" collapsed="false">
      <c r="A115" s="2"/>
      <c r="B115" s="2"/>
      <c r="C115" s="2"/>
      <c r="D115" s="2" t="str">
        <f aca="false">IF(C115="","",IFERROR(INDEX('动作库 Exercises'!$B:$B,MATCH(C115,'动作库 Exercises'!$A:$A,0)),"未找到ID"))</f>
        <v/>
      </c>
      <c r="E115" s="2"/>
      <c r="F115" s="2"/>
      <c r="G115" s="2"/>
      <c r="H115" s="2"/>
      <c r="I115" s="2"/>
    </row>
    <row r="116" customFormat="false" ht="15" hidden="false" customHeight="false" outlineLevel="0" collapsed="false">
      <c r="A116" s="2"/>
      <c r="B116" s="2"/>
      <c r="C116" s="2"/>
      <c r="D116" s="2" t="str">
        <f aca="false">IF(C116="","",IFERROR(INDEX('动作库 Exercises'!$B:$B,MATCH(C116,'动作库 Exercises'!$A:$A,0)),"未找到ID"))</f>
        <v/>
      </c>
      <c r="E116" s="2"/>
      <c r="F116" s="2"/>
      <c r="G116" s="2"/>
      <c r="H116" s="2"/>
      <c r="I116" s="2"/>
    </row>
    <row r="117" customFormat="false" ht="15" hidden="false" customHeight="false" outlineLevel="0" collapsed="false">
      <c r="A117" s="2"/>
      <c r="B117" s="2"/>
      <c r="C117" s="2"/>
      <c r="D117" s="2" t="str">
        <f aca="false">IF(C117="","",IFERROR(INDEX('动作库 Exercises'!$B:$B,MATCH(C117,'动作库 Exercises'!$A:$A,0)),"未找到ID"))</f>
        <v/>
      </c>
      <c r="E117" s="2"/>
      <c r="F117" s="2"/>
      <c r="G117" s="2"/>
      <c r="H117" s="2"/>
      <c r="I117" s="2"/>
    </row>
    <row r="118" customFormat="false" ht="15" hidden="false" customHeight="false" outlineLevel="0" collapsed="false">
      <c r="A118" s="2"/>
      <c r="B118" s="2"/>
      <c r="C118" s="2"/>
      <c r="D118" s="2" t="str">
        <f aca="false">IF(C118="","",IFERROR(INDEX('动作库 Exercises'!$B:$B,MATCH(C118,'动作库 Exercises'!$A:$A,0)),"未找到ID"))</f>
        <v/>
      </c>
      <c r="E118" s="2"/>
      <c r="F118" s="2"/>
      <c r="G118" s="2"/>
      <c r="H118" s="2"/>
      <c r="I118" s="2"/>
    </row>
    <row r="119" customFormat="false" ht="15" hidden="false" customHeight="false" outlineLevel="0" collapsed="false">
      <c r="A119" s="2"/>
      <c r="B119" s="2"/>
      <c r="C119" s="2"/>
      <c r="D119" s="2" t="str">
        <f aca="false">IF(C119="","",IFERROR(INDEX('动作库 Exercises'!$B:$B,MATCH(C119,'动作库 Exercises'!$A:$A,0)),"未找到ID"))</f>
        <v/>
      </c>
      <c r="E119" s="2"/>
      <c r="F119" s="2"/>
      <c r="G119" s="2"/>
      <c r="H119" s="2"/>
      <c r="I119" s="2"/>
    </row>
    <row r="120" customFormat="false" ht="15" hidden="false" customHeight="false" outlineLevel="0" collapsed="false">
      <c r="A120" s="2"/>
      <c r="B120" s="2"/>
      <c r="C120" s="2"/>
      <c r="D120" s="2" t="str">
        <f aca="false">IF(C120="","",IFERROR(INDEX('动作库 Exercises'!$B:$B,MATCH(C120,'动作库 Exercises'!$A:$A,0)),"未找到ID"))</f>
        <v/>
      </c>
      <c r="E120" s="2"/>
      <c r="F120" s="2"/>
      <c r="G120" s="2"/>
      <c r="H120" s="2"/>
      <c r="I120" s="2"/>
    </row>
    <row r="121" customFormat="false" ht="15" hidden="false" customHeight="false" outlineLevel="0" collapsed="false">
      <c r="A121" s="2"/>
      <c r="B121" s="2"/>
      <c r="C121" s="2"/>
      <c r="D121" s="2" t="str">
        <f aca="false">IF(C121="","",IFERROR(INDEX('动作库 Exercises'!$B:$B,MATCH(C121,'动作库 Exercises'!$A:$A,0)),"未找到ID"))</f>
        <v/>
      </c>
      <c r="E121" s="2"/>
      <c r="F121" s="2"/>
      <c r="G121" s="2"/>
      <c r="H121" s="2"/>
      <c r="I121" s="2"/>
    </row>
    <row r="122" customFormat="false" ht="15" hidden="false" customHeight="false" outlineLevel="0" collapsed="false">
      <c r="A122" s="2"/>
      <c r="B122" s="2"/>
      <c r="C122" s="2"/>
      <c r="D122" s="2" t="str">
        <f aca="false">IF(C122="","",IFERROR(INDEX('动作库 Exercises'!$B:$B,MATCH(C122,'动作库 Exercises'!$A:$A,0)),"未找到ID"))</f>
        <v/>
      </c>
      <c r="E122" s="2"/>
      <c r="F122" s="2"/>
      <c r="G122" s="2"/>
      <c r="H122" s="2"/>
      <c r="I122" s="2"/>
    </row>
    <row r="123" customFormat="false" ht="15" hidden="false" customHeight="false" outlineLevel="0" collapsed="false">
      <c r="A123" s="2"/>
      <c r="B123" s="2"/>
      <c r="C123" s="2"/>
      <c r="D123" s="2" t="str">
        <f aca="false">IF(C123="","",IFERROR(INDEX('动作库 Exercises'!$B:$B,MATCH(C123,'动作库 Exercises'!$A:$A,0)),"未找到ID"))</f>
        <v/>
      </c>
      <c r="E123" s="2"/>
      <c r="F123" s="2"/>
      <c r="G123" s="2"/>
      <c r="H123" s="2"/>
      <c r="I123" s="2"/>
    </row>
    <row r="124" customFormat="false" ht="15" hidden="false" customHeight="false" outlineLevel="0" collapsed="false">
      <c r="A124" s="2"/>
      <c r="B124" s="2"/>
      <c r="C124" s="2"/>
      <c r="D124" s="2" t="str">
        <f aca="false">IF(C124="","",IFERROR(INDEX('动作库 Exercises'!$B:$B,MATCH(C124,'动作库 Exercises'!$A:$A,0)),"未找到ID"))</f>
        <v/>
      </c>
      <c r="E124" s="2"/>
      <c r="F124" s="2"/>
      <c r="G124" s="2"/>
      <c r="H124" s="2"/>
      <c r="I124" s="2"/>
    </row>
    <row r="125" customFormat="false" ht="15" hidden="false" customHeight="false" outlineLevel="0" collapsed="false">
      <c r="A125" s="2"/>
      <c r="B125" s="2"/>
      <c r="C125" s="2"/>
      <c r="D125" s="2" t="str">
        <f aca="false">IF(C125="","",IFERROR(INDEX('动作库 Exercises'!$B:$B,MATCH(C125,'动作库 Exercises'!$A:$A,0)),"未找到ID"))</f>
        <v/>
      </c>
      <c r="E125" s="2"/>
      <c r="F125" s="2"/>
      <c r="G125" s="2"/>
      <c r="H125" s="2"/>
      <c r="I125" s="2"/>
    </row>
    <row r="126" customFormat="false" ht="15" hidden="false" customHeight="false" outlineLevel="0" collapsed="false">
      <c r="A126" s="2"/>
      <c r="B126" s="2"/>
      <c r="C126" s="2"/>
      <c r="D126" s="2" t="str">
        <f aca="false">IF(C126="","",IFERROR(INDEX('动作库 Exercises'!$B:$B,MATCH(C126,'动作库 Exercises'!$A:$A,0)),"未找到ID"))</f>
        <v/>
      </c>
      <c r="E126" s="2"/>
      <c r="F126" s="2"/>
      <c r="G126" s="2"/>
      <c r="H126" s="2"/>
      <c r="I126" s="2"/>
    </row>
    <row r="127" customFormat="false" ht="15" hidden="false" customHeight="false" outlineLevel="0" collapsed="false">
      <c r="A127" s="2"/>
      <c r="B127" s="2"/>
      <c r="C127" s="2"/>
      <c r="D127" s="2" t="str">
        <f aca="false">IF(C127="","",IFERROR(INDEX('动作库 Exercises'!$B:$B,MATCH(C127,'动作库 Exercises'!$A:$A,0)),"未找到ID"))</f>
        <v/>
      </c>
      <c r="E127" s="2"/>
      <c r="F127" s="2"/>
      <c r="G127" s="2"/>
      <c r="H127" s="2"/>
      <c r="I127" s="2"/>
    </row>
    <row r="128" customFormat="false" ht="15" hidden="false" customHeight="false" outlineLevel="0" collapsed="false">
      <c r="A128" s="2"/>
      <c r="B128" s="2"/>
      <c r="C128" s="2"/>
      <c r="D128" s="2" t="str">
        <f aca="false">IF(C128="","",IFERROR(INDEX('动作库 Exercises'!$B:$B,MATCH(C128,'动作库 Exercises'!$A:$A,0)),"未找到ID"))</f>
        <v/>
      </c>
      <c r="E128" s="2"/>
      <c r="F128" s="2"/>
      <c r="G128" s="2"/>
      <c r="H128" s="2"/>
      <c r="I128" s="2"/>
    </row>
    <row r="129" customFormat="false" ht="15" hidden="false" customHeight="false" outlineLevel="0" collapsed="false">
      <c r="A129" s="2"/>
      <c r="B129" s="2"/>
      <c r="C129" s="2"/>
      <c r="D129" s="2" t="str">
        <f aca="false">IF(C129="","",IFERROR(INDEX('动作库 Exercises'!$B:$B,MATCH(C129,'动作库 Exercises'!$A:$A,0)),"未找到ID"))</f>
        <v/>
      </c>
      <c r="E129" s="2"/>
      <c r="F129" s="2"/>
      <c r="G129" s="2"/>
      <c r="H129" s="2"/>
      <c r="I129" s="2"/>
    </row>
    <row r="130" customFormat="false" ht="15" hidden="false" customHeight="false" outlineLevel="0" collapsed="false">
      <c r="A130" s="2"/>
      <c r="B130" s="2"/>
      <c r="C130" s="2"/>
      <c r="D130" s="2" t="str">
        <f aca="false">IF(C130="","",IFERROR(INDEX('动作库 Exercises'!$B:$B,MATCH(C130,'动作库 Exercises'!$A:$A,0)),"未找到ID"))</f>
        <v/>
      </c>
      <c r="E130" s="2"/>
      <c r="F130" s="2"/>
      <c r="G130" s="2"/>
      <c r="H130" s="2"/>
      <c r="I130" s="2"/>
    </row>
    <row r="131" customFormat="false" ht="15" hidden="false" customHeight="false" outlineLevel="0" collapsed="false">
      <c r="A131" s="2"/>
      <c r="B131" s="2"/>
      <c r="C131" s="2"/>
      <c r="D131" s="2" t="str">
        <f aca="false">IF(C131="","",IFERROR(INDEX('动作库 Exercises'!$B:$B,MATCH(C131,'动作库 Exercises'!$A:$A,0)),"未找到ID"))</f>
        <v/>
      </c>
      <c r="E131" s="2"/>
      <c r="F131" s="2"/>
      <c r="G131" s="2"/>
      <c r="H131" s="2"/>
      <c r="I131" s="2"/>
    </row>
    <row r="132" customFormat="false" ht="15" hidden="false" customHeight="false" outlineLevel="0" collapsed="false">
      <c r="A132" s="2"/>
      <c r="B132" s="2"/>
      <c r="C132" s="2"/>
      <c r="D132" s="2" t="str">
        <f aca="false">IF(C132="","",IFERROR(INDEX('动作库 Exercises'!$B:$B,MATCH(C132,'动作库 Exercises'!$A:$A,0)),"未找到ID"))</f>
        <v/>
      </c>
      <c r="E132" s="2"/>
      <c r="F132" s="2"/>
      <c r="G132" s="2"/>
      <c r="H132" s="2"/>
      <c r="I132" s="2"/>
    </row>
    <row r="133" customFormat="false" ht="15" hidden="false" customHeight="false" outlineLevel="0" collapsed="false">
      <c r="A133" s="2"/>
      <c r="B133" s="2"/>
      <c r="C133" s="2"/>
      <c r="D133" s="2" t="str">
        <f aca="false">IF(C133="","",IFERROR(INDEX('动作库 Exercises'!$B:$B,MATCH(C133,'动作库 Exercises'!$A:$A,0)),"未找到ID"))</f>
        <v/>
      </c>
      <c r="E133" s="2"/>
      <c r="F133" s="2"/>
      <c r="G133" s="2"/>
      <c r="H133" s="2"/>
      <c r="I133" s="2"/>
    </row>
    <row r="134" customFormat="false" ht="15" hidden="false" customHeight="false" outlineLevel="0" collapsed="false">
      <c r="A134" s="2"/>
      <c r="B134" s="2"/>
      <c r="C134" s="2"/>
      <c r="D134" s="2" t="str">
        <f aca="false">IF(C134="","",IFERROR(INDEX('动作库 Exercises'!$B:$B,MATCH(C134,'动作库 Exercises'!$A:$A,0)),"未找到ID"))</f>
        <v/>
      </c>
      <c r="E134" s="2"/>
      <c r="F134" s="2"/>
      <c r="G134" s="2"/>
      <c r="H134" s="2"/>
      <c r="I134" s="2"/>
    </row>
    <row r="135" customFormat="false" ht="15" hidden="false" customHeight="false" outlineLevel="0" collapsed="false">
      <c r="A135" s="2"/>
      <c r="B135" s="2"/>
      <c r="C135" s="2"/>
      <c r="D135" s="2" t="str">
        <f aca="false">IF(C135="","",IFERROR(INDEX('动作库 Exercises'!$B:$B,MATCH(C135,'动作库 Exercises'!$A:$A,0)),"未找到ID"))</f>
        <v/>
      </c>
      <c r="E135" s="2"/>
      <c r="F135" s="2"/>
      <c r="G135" s="2"/>
      <c r="H135" s="2"/>
      <c r="I135" s="2"/>
    </row>
    <row r="136" customFormat="false" ht="15" hidden="false" customHeight="false" outlineLevel="0" collapsed="false">
      <c r="A136" s="2"/>
      <c r="B136" s="2"/>
      <c r="C136" s="2"/>
      <c r="D136" s="2" t="str">
        <f aca="false">IF(C136="","",IFERROR(INDEX('动作库 Exercises'!$B:$B,MATCH(C136,'动作库 Exercises'!$A:$A,0)),"未找到ID"))</f>
        <v/>
      </c>
      <c r="E136" s="2"/>
      <c r="F136" s="2"/>
      <c r="G136" s="2"/>
      <c r="H136" s="2"/>
      <c r="I136" s="2"/>
    </row>
    <row r="137" customFormat="false" ht="15" hidden="false" customHeight="false" outlineLevel="0" collapsed="false">
      <c r="A137" s="2"/>
      <c r="B137" s="2"/>
      <c r="C137" s="2"/>
      <c r="D137" s="2" t="str">
        <f aca="false">IF(C137="","",IFERROR(INDEX('动作库 Exercises'!$B:$B,MATCH(C137,'动作库 Exercises'!$A:$A,0)),"未找到ID"))</f>
        <v/>
      </c>
      <c r="E137" s="2"/>
      <c r="F137" s="2"/>
      <c r="G137" s="2"/>
      <c r="H137" s="2"/>
      <c r="I137" s="2"/>
    </row>
    <row r="138" customFormat="false" ht="15" hidden="false" customHeight="false" outlineLevel="0" collapsed="false">
      <c r="A138" s="2"/>
      <c r="B138" s="2"/>
      <c r="C138" s="2"/>
      <c r="D138" s="2" t="str">
        <f aca="false">IF(C138="","",IFERROR(INDEX('动作库 Exercises'!$B:$B,MATCH(C138,'动作库 Exercises'!$A:$A,0)),"未找到ID"))</f>
        <v/>
      </c>
      <c r="E138" s="2"/>
      <c r="F138" s="2"/>
      <c r="G138" s="2"/>
      <c r="H138" s="2"/>
      <c r="I138" s="2"/>
    </row>
    <row r="139" customFormat="false" ht="15" hidden="false" customHeight="false" outlineLevel="0" collapsed="false">
      <c r="A139" s="2"/>
      <c r="B139" s="2"/>
      <c r="C139" s="2"/>
      <c r="D139" s="2" t="str">
        <f aca="false">IF(C139="","",IFERROR(INDEX('动作库 Exercises'!$B:$B,MATCH(C139,'动作库 Exercises'!$A:$A,0)),"未找到ID"))</f>
        <v/>
      </c>
      <c r="E139" s="2"/>
      <c r="F139" s="2"/>
      <c r="G139" s="2"/>
      <c r="H139" s="2"/>
      <c r="I139" s="2"/>
    </row>
    <row r="140" customFormat="false" ht="15" hidden="false" customHeight="false" outlineLevel="0" collapsed="false">
      <c r="A140" s="2"/>
      <c r="B140" s="2"/>
      <c r="C140" s="2"/>
      <c r="D140" s="2" t="str">
        <f aca="false">IF(C140="","",IFERROR(INDEX('动作库 Exercises'!$B:$B,MATCH(C140,'动作库 Exercises'!$A:$A,0)),"未找到ID"))</f>
        <v/>
      </c>
      <c r="E140" s="2"/>
      <c r="F140" s="2"/>
      <c r="G140" s="2"/>
      <c r="H140" s="2"/>
      <c r="I140" s="2"/>
    </row>
    <row r="141" customFormat="false" ht="15" hidden="false" customHeight="false" outlineLevel="0" collapsed="false">
      <c r="A141" s="2"/>
      <c r="B141" s="2"/>
      <c r="C141" s="2"/>
      <c r="D141" s="2" t="str">
        <f aca="false">IF(C141="","",IFERROR(INDEX('动作库 Exercises'!$B:$B,MATCH(C141,'动作库 Exercises'!$A:$A,0)),"未找到ID"))</f>
        <v/>
      </c>
      <c r="E141" s="2"/>
      <c r="F141" s="2"/>
      <c r="G141" s="2"/>
      <c r="H141" s="2"/>
      <c r="I141" s="2"/>
    </row>
    <row r="142" customFormat="false" ht="15" hidden="false" customHeight="false" outlineLevel="0" collapsed="false">
      <c r="A142" s="2"/>
      <c r="B142" s="2"/>
      <c r="C142" s="2"/>
      <c r="D142" s="2" t="str">
        <f aca="false">IF(C142="","",IFERROR(INDEX('动作库 Exercises'!$B:$B,MATCH(C142,'动作库 Exercises'!$A:$A,0)),"未找到ID"))</f>
        <v/>
      </c>
      <c r="E142" s="2"/>
      <c r="F142" s="2"/>
      <c r="G142" s="2"/>
      <c r="H142" s="2"/>
      <c r="I142" s="2"/>
    </row>
    <row r="143" customFormat="false" ht="15" hidden="false" customHeight="false" outlineLevel="0" collapsed="false">
      <c r="A143" s="2"/>
      <c r="B143" s="2"/>
      <c r="C143" s="2"/>
      <c r="D143" s="2" t="str">
        <f aca="false">IF(C143="","",IFERROR(INDEX('动作库 Exercises'!$B:$B,MATCH(C143,'动作库 Exercises'!$A:$A,0)),"未找到ID"))</f>
        <v/>
      </c>
      <c r="E143" s="2"/>
      <c r="F143" s="2"/>
      <c r="G143" s="2"/>
      <c r="H143" s="2"/>
      <c r="I143" s="2"/>
    </row>
    <row r="144" customFormat="false" ht="15" hidden="false" customHeight="false" outlineLevel="0" collapsed="false">
      <c r="A144" s="2"/>
      <c r="B144" s="2"/>
      <c r="C144" s="2"/>
      <c r="D144" s="2" t="str">
        <f aca="false">IF(C144="","",IFERROR(INDEX('动作库 Exercises'!$B:$B,MATCH(C144,'动作库 Exercises'!$A:$A,0)),"未找到ID"))</f>
        <v/>
      </c>
      <c r="E144" s="2"/>
      <c r="F144" s="2"/>
      <c r="G144" s="2"/>
      <c r="H144" s="2"/>
      <c r="I144" s="2"/>
    </row>
    <row r="145" customFormat="false" ht="15" hidden="false" customHeight="false" outlineLevel="0" collapsed="false">
      <c r="A145" s="2"/>
      <c r="B145" s="2"/>
      <c r="C145" s="2"/>
      <c r="D145" s="2" t="str">
        <f aca="false">IF(C145="","",IFERROR(INDEX('动作库 Exercises'!$B:$B,MATCH(C145,'动作库 Exercises'!$A:$A,0)),"未找到ID"))</f>
        <v/>
      </c>
      <c r="E145" s="2"/>
      <c r="F145" s="2"/>
      <c r="G145" s="2"/>
      <c r="H145" s="2"/>
      <c r="I145" s="2"/>
    </row>
    <row r="146" customFormat="false" ht="15" hidden="false" customHeight="false" outlineLevel="0" collapsed="false">
      <c r="A146" s="2"/>
      <c r="B146" s="2"/>
      <c r="C146" s="2"/>
      <c r="D146" s="2" t="str">
        <f aca="false">IF(C146="","",IFERROR(INDEX('动作库 Exercises'!$B:$B,MATCH(C146,'动作库 Exercises'!$A:$A,0)),"未找到ID"))</f>
        <v/>
      </c>
      <c r="E146" s="2"/>
      <c r="F146" s="2"/>
      <c r="G146" s="2"/>
      <c r="H146" s="2"/>
      <c r="I146" s="2"/>
    </row>
    <row r="147" customFormat="false" ht="15" hidden="false" customHeight="false" outlineLevel="0" collapsed="false">
      <c r="A147" s="2"/>
      <c r="B147" s="2"/>
      <c r="C147" s="2"/>
      <c r="D147" s="2" t="str">
        <f aca="false">IF(C147="","",IFERROR(INDEX('动作库 Exercises'!$B:$B,MATCH(C147,'动作库 Exercises'!$A:$A,0)),"未找到ID"))</f>
        <v/>
      </c>
      <c r="E147" s="2"/>
      <c r="F147" s="2"/>
      <c r="G147" s="2"/>
      <c r="H147" s="2"/>
      <c r="I147" s="2"/>
    </row>
    <row r="148" customFormat="false" ht="15" hidden="false" customHeight="false" outlineLevel="0" collapsed="false">
      <c r="A148" s="2"/>
      <c r="B148" s="2"/>
      <c r="C148" s="2"/>
      <c r="D148" s="2" t="str">
        <f aca="false">IF(C148="","",IFERROR(INDEX('动作库 Exercises'!$B:$B,MATCH(C148,'动作库 Exercises'!$A:$A,0)),"未找到ID"))</f>
        <v/>
      </c>
      <c r="E148" s="2"/>
      <c r="F148" s="2"/>
      <c r="G148" s="2"/>
      <c r="H148" s="2"/>
      <c r="I148" s="2"/>
    </row>
    <row r="149" customFormat="false" ht="15" hidden="false" customHeight="false" outlineLevel="0" collapsed="false">
      <c r="A149" s="2"/>
      <c r="B149" s="2"/>
      <c r="C149" s="2"/>
      <c r="D149" s="2" t="str">
        <f aca="false">IF(C149="","",IFERROR(INDEX('动作库 Exercises'!$B:$B,MATCH(C149,'动作库 Exercises'!$A:$A,0)),"未找到ID"))</f>
        <v/>
      </c>
      <c r="E149" s="2"/>
      <c r="F149" s="2"/>
      <c r="G149" s="2"/>
      <c r="H149" s="2"/>
      <c r="I149" s="2"/>
    </row>
    <row r="150" customFormat="false" ht="15" hidden="false" customHeight="false" outlineLevel="0" collapsed="false">
      <c r="A150" s="2"/>
      <c r="B150" s="2"/>
      <c r="C150" s="2"/>
      <c r="D150" s="2" t="str">
        <f aca="false">IF(C150="","",IFERROR(INDEX('动作库 Exercises'!$B:$B,MATCH(C150,'动作库 Exercises'!$A:$A,0)),"未找到ID"))</f>
        <v/>
      </c>
      <c r="E150" s="2"/>
      <c r="F150" s="2"/>
      <c r="G150" s="2"/>
      <c r="H150" s="2"/>
      <c r="I150" s="2"/>
    </row>
    <row r="151" customFormat="false" ht="15" hidden="false" customHeight="false" outlineLevel="0" collapsed="false">
      <c r="A151" s="2"/>
      <c r="B151" s="2"/>
      <c r="C151" s="2"/>
      <c r="D151" s="2" t="str">
        <f aca="false">IF(C151="","",IFERROR(INDEX('动作库 Exercises'!$B:$B,MATCH(C151,'动作库 Exercises'!$A:$A,0)),"未找到ID"))</f>
        <v/>
      </c>
      <c r="E151" s="2"/>
      <c r="F151" s="2"/>
      <c r="G151" s="2"/>
      <c r="H151" s="2"/>
      <c r="I151" s="2"/>
    </row>
    <row r="152" customFormat="false" ht="15" hidden="false" customHeight="false" outlineLevel="0" collapsed="false">
      <c r="A152" s="2"/>
      <c r="B152" s="2"/>
      <c r="C152" s="2"/>
      <c r="D152" s="2" t="str">
        <f aca="false">IF(C152="","",IFERROR(INDEX('动作库 Exercises'!$B:$B,MATCH(C152,'动作库 Exercises'!$A:$A,0)),"未找到ID"))</f>
        <v/>
      </c>
      <c r="E152" s="2"/>
      <c r="F152" s="2"/>
      <c r="G152" s="2"/>
      <c r="H152" s="2"/>
      <c r="I152" s="2"/>
    </row>
    <row r="153" customFormat="false" ht="15" hidden="false" customHeight="false" outlineLevel="0" collapsed="false">
      <c r="A153" s="2"/>
      <c r="B153" s="2"/>
      <c r="C153" s="2"/>
      <c r="D153" s="2" t="str">
        <f aca="false">IF(C153="","",IFERROR(INDEX('动作库 Exercises'!$B:$B,MATCH(C153,'动作库 Exercises'!$A:$A,0)),"未找到ID"))</f>
        <v/>
      </c>
      <c r="E153" s="2"/>
      <c r="F153" s="2"/>
      <c r="G153" s="2"/>
      <c r="H153" s="2"/>
      <c r="I153" s="2"/>
    </row>
    <row r="154" customFormat="false" ht="15" hidden="false" customHeight="false" outlineLevel="0" collapsed="false">
      <c r="A154" s="2"/>
      <c r="B154" s="2"/>
      <c r="C154" s="2"/>
      <c r="D154" s="2" t="str">
        <f aca="false">IF(C154="","",IFERROR(INDEX('动作库 Exercises'!$B:$B,MATCH(C154,'动作库 Exercises'!$A:$A,0)),"未找到ID"))</f>
        <v/>
      </c>
      <c r="E154" s="2"/>
      <c r="F154" s="2"/>
      <c r="G154" s="2"/>
      <c r="H154" s="2"/>
      <c r="I154" s="2"/>
    </row>
    <row r="155" customFormat="false" ht="15" hidden="false" customHeight="false" outlineLevel="0" collapsed="false">
      <c r="A155" s="2"/>
      <c r="B155" s="2"/>
      <c r="C155" s="2"/>
      <c r="D155" s="2" t="str">
        <f aca="false">IF(C155="","",IFERROR(INDEX('动作库 Exercises'!$B:$B,MATCH(C155,'动作库 Exercises'!$A:$A,0)),"未找到ID"))</f>
        <v/>
      </c>
      <c r="E155" s="2"/>
      <c r="F155" s="2"/>
      <c r="G155" s="2"/>
      <c r="H155" s="2"/>
      <c r="I155" s="2"/>
    </row>
    <row r="156" customFormat="false" ht="15" hidden="false" customHeight="false" outlineLevel="0" collapsed="false">
      <c r="A156" s="2"/>
      <c r="B156" s="2"/>
      <c r="C156" s="2"/>
      <c r="D156" s="2" t="str">
        <f aca="false">IF(C156="","",IFERROR(INDEX('动作库 Exercises'!$B:$B,MATCH(C156,'动作库 Exercises'!$A:$A,0)),"未找到ID"))</f>
        <v/>
      </c>
      <c r="E156" s="2"/>
      <c r="F156" s="2"/>
      <c r="G156" s="2"/>
      <c r="H156" s="2"/>
      <c r="I156" s="2"/>
    </row>
    <row r="157" customFormat="false" ht="15" hidden="false" customHeight="false" outlineLevel="0" collapsed="false">
      <c r="A157" s="2"/>
      <c r="B157" s="2"/>
      <c r="C157" s="2"/>
      <c r="D157" s="2" t="str">
        <f aca="false">IF(C157="","",IFERROR(INDEX('动作库 Exercises'!$B:$B,MATCH(C157,'动作库 Exercises'!$A:$A,0)),"未找到ID"))</f>
        <v/>
      </c>
      <c r="E157" s="2"/>
      <c r="F157" s="2"/>
      <c r="G157" s="2"/>
      <c r="H157" s="2"/>
      <c r="I157" s="2"/>
    </row>
    <row r="158" customFormat="false" ht="15" hidden="false" customHeight="false" outlineLevel="0" collapsed="false">
      <c r="A158" s="2"/>
      <c r="B158" s="2"/>
      <c r="C158" s="2"/>
      <c r="D158" s="2" t="str">
        <f aca="false">IF(C158="","",IFERROR(INDEX('动作库 Exercises'!$B:$B,MATCH(C158,'动作库 Exercises'!$A:$A,0)),"未找到ID"))</f>
        <v/>
      </c>
      <c r="E158" s="2"/>
      <c r="F158" s="2"/>
      <c r="G158" s="2"/>
      <c r="H158" s="2"/>
      <c r="I158" s="2"/>
    </row>
    <row r="159" customFormat="false" ht="15" hidden="false" customHeight="false" outlineLevel="0" collapsed="false">
      <c r="A159" s="2"/>
      <c r="B159" s="2"/>
      <c r="C159" s="2"/>
      <c r="D159" s="2" t="str">
        <f aca="false">IF(C159="","",IFERROR(INDEX('动作库 Exercises'!$B:$B,MATCH(C159,'动作库 Exercises'!$A:$A,0)),"未找到ID"))</f>
        <v/>
      </c>
      <c r="E159" s="2"/>
      <c r="F159" s="2"/>
      <c r="G159" s="2"/>
      <c r="H159" s="2"/>
      <c r="I159" s="2"/>
    </row>
    <row r="160" customFormat="false" ht="15" hidden="false" customHeight="false" outlineLevel="0" collapsed="false">
      <c r="A160" s="2"/>
      <c r="B160" s="2"/>
      <c r="C160" s="2"/>
      <c r="D160" s="2" t="str">
        <f aca="false">IF(C160="","",IFERROR(INDEX('动作库 Exercises'!$B:$B,MATCH(C160,'动作库 Exercises'!$A:$A,0)),"未找到ID"))</f>
        <v/>
      </c>
      <c r="E160" s="2"/>
      <c r="F160" s="2"/>
      <c r="G160" s="2"/>
      <c r="H160" s="2"/>
      <c r="I160" s="2"/>
    </row>
    <row r="161" customFormat="false" ht="15" hidden="false" customHeight="false" outlineLevel="0" collapsed="false">
      <c r="A161" s="2"/>
      <c r="B161" s="2"/>
      <c r="C161" s="2"/>
      <c r="D161" s="2" t="str">
        <f aca="false">IF(C161="","",IFERROR(INDEX('动作库 Exercises'!$B:$B,MATCH(C161,'动作库 Exercises'!$A:$A,0)),"未找到ID"))</f>
        <v/>
      </c>
      <c r="E161" s="2"/>
      <c r="F161" s="2"/>
      <c r="G161" s="2"/>
      <c r="H161" s="2"/>
      <c r="I161" s="2"/>
    </row>
    <row r="162" customFormat="false" ht="15" hidden="false" customHeight="false" outlineLevel="0" collapsed="false">
      <c r="A162" s="2"/>
      <c r="B162" s="2"/>
      <c r="C162" s="2"/>
      <c r="D162" s="2" t="str">
        <f aca="false">IF(C162="","",IFERROR(INDEX('动作库 Exercises'!$B:$B,MATCH(C162,'动作库 Exercises'!$A:$A,0)),"未找到ID"))</f>
        <v/>
      </c>
      <c r="E162" s="2"/>
      <c r="F162" s="2"/>
      <c r="G162" s="2"/>
      <c r="H162" s="2"/>
      <c r="I162" s="2"/>
    </row>
    <row r="163" customFormat="false" ht="15" hidden="false" customHeight="false" outlineLevel="0" collapsed="false">
      <c r="A163" s="2"/>
      <c r="B163" s="2"/>
      <c r="C163" s="2"/>
      <c r="D163" s="2" t="str">
        <f aca="false">IF(C163="","",IFERROR(INDEX('动作库 Exercises'!$B:$B,MATCH(C163,'动作库 Exercises'!$A:$A,0)),"未找到ID"))</f>
        <v/>
      </c>
      <c r="E163" s="2"/>
      <c r="F163" s="2"/>
      <c r="G163" s="2"/>
      <c r="H163" s="2"/>
      <c r="I163" s="2"/>
    </row>
    <row r="164" customFormat="false" ht="15" hidden="false" customHeight="false" outlineLevel="0" collapsed="false">
      <c r="A164" s="2"/>
      <c r="B164" s="2"/>
      <c r="C164" s="2"/>
      <c r="D164" s="2" t="str">
        <f aca="false">IF(C164="","",IFERROR(INDEX('动作库 Exercises'!$B:$B,MATCH(C164,'动作库 Exercises'!$A:$A,0)),"未找到ID"))</f>
        <v/>
      </c>
      <c r="E164" s="2"/>
      <c r="F164" s="2"/>
      <c r="G164" s="2"/>
      <c r="H164" s="2"/>
      <c r="I164" s="2"/>
    </row>
    <row r="165" customFormat="false" ht="15" hidden="false" customHeight="false" outlineLevel="0" collapsed="false">
      <c r="A165" s="2"/>
      <c r="B165" s="2"/>
      <c r="C165" s="2"/>
      <c r="D165" s="2" t="str">
        <f aca="false">IF(C165="","",IFERROR(INDEX('动作库 Exercises'!$B:$B,MATCH(C165,'动作库 Exercises'!$A:$A,0)),"未找到ID"))</f>
        <v/>
      </c>
      <c r="E165" s="2"/>
      <c r="F165" s="2"/>
      <c r="G165" s="2"/>
      <c r="H165" s="2"/>
      <c r="I165" s="2"/>
    </row>
    <row r="166" customFormat="false" ht="15" hidden="false" customHeight="false" outlineLevel="0" collapsed="false">
      <c r="A166" s="2"/>
      <c r="B166" s="2"/>
      <c r="C166" s="2"/>
      <c r="D166" s="2" t="str">
        <f aca="false">IF(C166="","",IFERROR(INDEX('动作库 Exercises'!$B:$B,MATCH(C166,'动作库 Exercises'!$A:$A,0)),"未找到ID"))</f>
        <v/>
      </c>
      <c r="E166" s="2"/>
      <c r="F166" s="2"/>
      <c r="G166" s="2"/>
      <c r="H166" s="2"/>
      <c r="I166" s="2"/>
    </row>
    <row r="167" customFormat="false" ht="15" hidden="false" customHeight="false" outlineLevel="0" collapsed="false">
      <c r="A167" s="2"/>
      <c r="B167" s="2"/>
      <c r="C167" s="2"/>
      <c r="D167" s="2" t="str">
        <f aca="false">IF(C167="","",IFERROR(INDEX('动作库 Exercises'!$B:$B,MATCH(C167,'动作库 Exercises'!$A:$A,0)),"未找到ID"))</f>
        <v/>
      </c>
      <c r="E167" s="2"/>
      <c r="F167" s="2"/>
      <c r="G167" s="2"/>
      <c r="H167" s="2"/>
      <c r="I167" s="2"/>
    </row>
    <row r="168" customFormat="false" ht="15" hidden="false" customHeight="false" outlineLevel="0" collapsed="false">
      <c r="A168" s="2"/>
      <c r="B168" s="2"/>
      <c r="C168" s="2"/>
      <c r="D168" s="2" t="str">
        <f aca="false">IF(C168="","",IFERROR(INDEX('动作库 Exercises'!$B:$B,MATCH(C168,'动作库 Exercises'!$A:$A,0)),"未找到ID"))</f>
        <v/>
      </c>
      <c r="E168" s="2"/>
      <c r="F168" s="2"/>
      <c r="G168" s="2"/>
      <c r="H168" s="2"/>
      <c r="I168" s="2"/>
    </row>
    <row r="169" customFormat="false" ht="15" hidden="false" customHeight="false" outlineLevel="0" collapsed="false">
      <c r="A169" s="2"/>
      <c r="B169" s="2"/>
      <c r="C169" s="2"/>
      <c r="D169" s="2" t="str">
        <f aca="false">IF(C169="","",IFERROR(INDEX('动作库 Exercises'!$B:$B,MATCH(C169,'动作库 Exercises'!$A:$A,0)),"未找到ID"))</f>
        <v/>
      </c>
      <c r="E169" s="2"/>
      <c r="F169" s="2"/>
      <c r="G169" s="2"/>
      <c r="H169" s="2"/>
      <c r="I169" s="2"/>
    </row>
    <row r="170" customFormat="false" ht="15" hidden="false" customHeight="false" outlineLevel="0" collapsed="false">
      <c r="A170" s="2"/>
      <c r="B170" s="2"/>
      <c r="C170" s="2"/>
      <c r="D170" s="2" t="str">
        <f aca="false">IF(C170="","",IFERROR(INDEX('动作库 Exercises'!$B:$B,MATCH(C170,'动作库 Exercises'!$A:$A,0)),"未找到ID"))</f>
        <v/>
      </c>
      <c r="E170" s="2"/>
      <c r="F170" s="2"/>
      <c r="G170" s="2"/>
      <c r="H170" s="2"/>
      <c r="I170" s="2"/>
    </row>
    <row r="171" customFormat="false" ht="15" hidden="false" customHeight="false" outlineLevel="0" collapsed="false">
      <c r="A171" s="2"/>
      <c r="B171" s="2"/>
      <c r="C171" s="2"/>
      <c r="D171" s="2" t="str">
        <f aca="false">IF(C171="","",IFERROR(INDEX('动作库 Exercises'!$B:$B,MATCH(C171,'动作库 Exercises'!$A:$A,0)),"未找到ID"))</f>
        <v/>
      </c>
      <c r="E171" s="2"/>
      <c r="F171" s="2"/>
      <c r="G171" s="2"/>
      <c r="H171" s="2"/>
      <c r="I171" s="2"/>
    </row>
    <row r="172" customFormat="false" ht="15" hidden="false" customHeight="false" outlineLevel="0" collapsed="false">
      <c r="A172" s="2"/>
      <c r="B172" s="2"/>
      <c r="C172" s="2"/>
      <c r="D172" s="2" t="str">
        <f aca="false">IF(C172="","",IFERROR(INDEX('动作库 Exercises'!$B:$B,MATCH(C172,'动作库 Exercises'!$A:$A,0)),"未找到ID"))</f>
        <v/>
      </c>
      <c r="E172" s="2"/>
      <c r="F172" s="2"/>
      <c r="G172" s="2"/>
      <c r="H172" s="2"/>
      <c r="I172" s="2"/>
    </row>
    <row r="173" customFormat="false" ht="15" hidden="false" customHeight="false" outlineLevel="0" collapsed="false">
      <c r="A173" s="2"/>
      <c r="B173" s="2"/>
      <c r="C173" s="2"/>
      <c r="D173" s="2" t="str">
        <f aca="false">IF(C173="","",IFERROR(INDEX('动作库 Exercises'!$B:$B,MATCH(C173,'动作库 Exercises'!$A:$A,0)),"未找到ID"))</f>
        <v/>
      </c>
      <c r="E173" s="2"/>
      <c r="F173" s="2"/>
      <c r="G173" s="2"/>
      <c r="H173" s="2"/>
      <c r="I173" s="2"/>
    </row>
    <row r="174" customFormat="false" ht="15" hidden="false" customHeight="false" outlineLevel="0" collapsed="false">
      <c r="A174" s="2"/>
      <c r="B174" s="2"/>
      <c r="C174" s="2"/>
      <c r="D174" s="2" t="str">
        <f aca="false">IF(C174="","",IFERROR(INDEX('动作库 Exercises'!$B:$B,MATCH(C174,'动作库 Exercises'!$A:$A,0)),"未找到ID"))</f>
        <v/>
      </c>
      <c r="E174" s="2"/>
      <c r="F174" s="2"/>
      <c r="G174" s="2"/>
      <c r="H174" s="2"/>
      <c r="I174" s="2"/>
    </row>
    <row r="175" customFormat="false" ht="15" hidden="false" customHeight="false" outlineLevel="0" collapsed="false">
      <c r="A175" s="2"/>
      <c r="B175" s="2"/>
      <c r="C175" s="2"/>
      <c r="D175" s="2" t="str">
        <f aca="false">IF(C175="","",IFERROR(INDEX('动作库 Exercises'!$B:$B,MATCH(C175,'动作库 Exercises'!$A:$A,0)),"未找到ID"))</f>
        <v/>
      </c>
      <c r="E175" s="2"/>
      <c r="F175" s="2"/>
      <c r="G175" s="2"/>
      <c r="H175" s="2"/>
      <c r="I175" s="2"/>
    </row>
    <row r="176" customFormat="false" ht="15" hidden="false" customHeight="false" outlineLevel="0" collapsed="false">
      <c r="A176" s="2"/>
      <c r="B176" s="2"/>
      <c r="C176" s="2"/>
      <c r="D176" s="2" t="str">
        <f aca="false">IF(C176="","",IFERROR(INDEX('动作库 Exercises'!$B:$B,MATCH(C176,'动作库 Exercises'!$A:$A,0)),"未找到ID"))</f>
        <v/>
      </c>
      <c r="E176" s="2"/>
      <c r="F176" s="2"/>
      <c r="G176" s="2"/>
      <c r="H176" s="2"/>
      <c r="I176" s="2"/>
    </row>
    <row r="177" customFormat="false" ht="15" hidden="false" customHeight="false" outlineLevel="0" collapsed="false">
      <c r="A177" s="2"/>
      <c r="B177" s="2"/>
      <c r="C177" s="2"/>
      <c r="D177" s="2" t="str">
        <f aca="false">IF(C177="","",IFERROR(INDEX('动作库 Exercises'!$B:$B,MATCH(C177,'动作库 Exercises'!$A:$A,0)),"未找到ID"))</f>
        <v/>
      </c>
      <c r="E177" s="2"/>
      <c r="F177" s="2"/>
      <c r="G177" s="2"/>
      <c r="H177" s="2"/>
      <c r="I177" s="2"/>
    </row>
    <row r="178" customFormat="false" ht="15" hidden="false" customHeight="false" outlineLevel="0" collapsed="false">
      <c r="A178" s="2"/>
      <c r="B178" s="2"/>
      <c r="C178" s="2"/>
      <c r="D178" s="2" t="str">
        <f aca="false">IF(C178="","",IFERROR(INDEX('动作库 Exercises'!$B:$B,MATCH(C178,'动作库 Exercises'!$A:$A,0)),"未找到ID"))</f>
        <v/>
      </c>
      <c r="E178" s="2"/>
      <c r="F178" s="2"/>
      <c r="G178" s="2"/>
      <c r="H178" s="2"/>
      <c r="I178" s="2"/>
    </row>
    <row r="179" customFormat="false" ht="15" hidden="false" customHeight="false" outlineLevel="0" collapsed="false">
      <c r="A179" s="2"/>
      <c r="B179" s="2"/>
      <c r="C179" s="2"/>
      <c r="D179" s="2" t="str">
        <f aca="false">IF(C179="","",IFERROR(INDEX('动作库 Exercises'!$B:$B,MATCH(C179,'动作库 Exercises'!$A:$A,0)),"未找到ID"))</f>
        <v/>
      </c>
      <c r="E179" s="2"/>
      <c r="F179" s="2"/>
      <c r="G179" s="2"/>
      <c r="H179" s="2"/>
      <c r="I179" s="2"/>
    </row>
    <row r="180" customFormat="false" ht="15" hidden="false" customHeight="false" outlineLevel="0" collapsed="false">
      <c r="A180" s="2"/>
      <c r="B180" s="2"/>
      <c r="C180" s="2"/>
      <c r="D180" s="2" t="str">
        <f aca="false">IF(C180="","",IFERROR(INDEX('动作库 Exercises'!$B:$B,MATCH(C180,'动作库 Exercises'!$A:$A,0)),"未找到ID"))</f>
        <v/>
      </c>
      <c r="E180" s="2"/>
      <c r="F180" s="2"/>
      <c r="G180" s="2"/>
      <c r="H180" s="2"/>
      <c r="I180" s="2"/>
    </row>
    <row r="181" customFormat="false" ht="15" hidden="false" customHeight="false" outlineLevel="0" collapsed="false">
      <c r="A181" s="2"/>
      <c r="B181" s="2"/>
      <c r="C181" s="2"/>
      <c r="D181" s="2" t="str">
        <f aca="false">IF(C181="","",IFERROR(INDEX('动作库 Exercises'!$B:$B,MATCH(C181,'动作库 Exercises'!$A:$A,0)),"未找到ID"))</f>
        <v/>
      </c>
      <c r="E181" s="2"/>
      <c r="F181" s="2"/>
      <c r="G181" s="2"/>
      <c r="H181" s="2"/>
      <c r="I181" s="2"/>
    </row>
    <row r="182" customFormat="false" ht="15" hidden="false" customHeight="false" outlineLevel="0" collapsed="false">
      <c r="A182" s="2"/>
      <c r="B182" s="2"/>
      <c r="C182" s="2"/>
      <c r="D182" s="2" t="str">
        <f aca="false">IF(C182="","",IFERROR(INDEX('动作库 Exercises'!$B:$B,MATCH(C182,'动作库 Exercises'!$A:$A,0)),"未找到ID"))</f>
        <v/>
      </c>
      <c r="E182" s="2"/>
      <c r="F182" s="2"/>
      <c r="G182" s="2"/>
      <c r="H182" s="2"/>
      <c r="I182" s="2"/>
    </row>
    <row r="183" customFormat="false" ht="15" hidden="false" customHeight="false" outlineLevel="0" collapsed="false">
      <c r="A183" s="2"/>
      <c r="B183" s="2"/>
      <c r="C183" s="2"/>
      <c r="D183" s="2" t="str">
        <f aca="false">IF(C183="","",IFERROR(INDEX('动作库 Exercises'!$B:$B,MATCH(C183,'动作库 Exercises'!$A:$A,0)),"未找到ID"))</f>
        <v/>
      </c>
      <c r="E183" s="2"/>
      <c r="F183" s="2"/>
      <c r="G183" s="2"/>
      <c r="H183" s="2"/>
      <c r="I183" s="2"/>
    </row>
    <row r="184" customFormat="false" ht="15" hidden="false" customHeight="false" outlineLevel="0" collapsed="false">
      <c r="A184" s="2"/>
      <c r="B184" s="2"/>
      <c r="C184" s="2"/>
      <c r="D184" s="2" t="str">
        <f aca="false">IF(C184="","",IFERROR(INDEX('动作库 Exercises'!$B:$B,MATCH(C184,'动作库 Exercises'!$A:$A,0)),"未找到ID"))</f>
        <v/>
      </c>
      <c r="E184" s="2"/>
      <c r="F184" s="2"/>
      <c r="G184" s="2"/>
      <c r="H184" s="2"/>
      <c r="I184" s="2"/>
    </row>
    <row r="185" customFormat="false" ht="15" hidden="false" customHeight="false" outlineLevel="0" collapsed="false">
      <c r="A185" s="2"/>
      <c r="B185" s="2"/>
      <c r="C185" s="2"/>
      <c r="D185" s="2" t="str">
        <f aca="false">IF(C185="","",IFERROR(INDEX('动作库 Exercises'!$B:$B,MATCH(C185,'动作库 Exercises'!$A:$A,0)),"未找到ID"))</f>
        <v/>
      </c>
      <c r="E185" s="2"/>
      <c r="F185" s="2"/>
      <c r="G185" s="2"/>
      <c r="H185" s="2"/>
      <c r="I185" s="2"/>
    </row>
    <row r="186" customFormat="false" ht="15" hidden="false" customHeight="false" outlineLevel="0" collapsed="false">
      <c r="A186" s="2"/>
      <c r="B186" s="2"/>
      <c r="C186" s="2"/>
      <c r="D186" s="2" t="str">
        <f aca="false">IF(C186="","",IFERROR(INDEX('动作库 Exercises'!$B:$B,MATCH(C186,'动作库 Exercises'!$A:$A,0)),"未找到ID"))</f>
        <v/>
      </c>
      <c r="E186" s="2"/>
      <c r="F186" s="2"/>
      <c r="G186" s="2"/>
      <c r="H186" s="2"/>
      <c r="I186" s="2"/>
    </row>
    <row r="187" customFormat="false" ht="15" hidden="false" customHeight="false" outlineLevel="0" collapsed="false">
      <c r="A187" s="2"/>
      <c r="B187" s="2"/>
      <c r="C187" s="2"/>
      <c r="D187" s="2" t="str">
        <f aca="false">IF(C187="","",IFERROR(INDEX('动作库 Exercises'!$B:$B,MATCH(C187,'动作库 Exercises'!$A:$A,0)),"未找到ID"))</f>
        <v/>
      </c>
      <c r="E187" s="2"/>
      <c r="F187" s="2"/>
      <c r="G187" s="2"/>
      <c r="H187" s="2"/>
      <c r="I187" s="2"/>
    </row>
    <row r="188" customFormat="false" ht="15" hidden="false" customHeight="false" outlineLevel="0" collapsed="false">
      <c r="A188" s="2"/>
      <c r="B188" s="2"/>
      <c r="C188" s="2"/>
      <c r="D188" s="2" t="str">
        <f aca="false">IF(C188="","",IFERROR(INDEX('动作库 Exercises'!$B:$B,MATCH(C188,'动作库 Exercises'!$A:$A,0)),"未找到ID"))</f>
        <v/>
      </c>
      <c r="E188" s="2"/>
      <c r="F188" s="2"/>
      <c r="G188" s="2"/>
      <c r="H188" s="2"/>
      <c r="I188" s="2"/>
    </row>
    <row r="189" customFormat="false" ht="15" hidden="false" customHeight="false" outlineLevel="0" collapsed="false">
      <c r="A189" s="2"/>
      <c r="B189" s="2"/>
      <c r="C189" s="2"/>
      <c r="D189" s="2" t="str">
        <f aca="false">IF(C189="","",IFERROR(INDEX('动作库 Exercises'!$B:$B,MATCH(C189,'动作库 Exercises'!$A:$A,0)),"未找到ID"))</f>
        <v/>
      </c>
      <c r="E189" s="2"/>
      <c r="F189" s="2"/>
      <c r="G189" s="2"/>
      <c r="H189" s="2"/>
      <c r="I189" s="2"/>
    </row>
    <row r="190" customFormat="false" ht="15" hidden="false" customHeight="false" outlineLevel="0" collapsed="false">
      <c r="A190" s="2"/>
      <c r="B190" s="2"/>
      <c r="C190" s="2"/>
      <c r="D190" s="2" t="str">
        <f aca="false">IF(C190="","",IFERROR(INDEX('动作库 Exercises'!$B:$B,MATCH(C190,'动作库 Exercises'!$A:$A,0)),"未找到ID"))</f>
        <v/>
      </c>
      <c r="E190" s="2"/>
      <c r="F190" s="2"/>
      <c r="G190" s="2"/>
      <c r="H190" s="2"/>
      <c r="I190" s="2"/>
    </row>
    <row r="191" customFormat="false" ht="15" hidden="false" customHeight="false" outlineLevel="0" collapsed="false">
      <c r="A191" s="2"/>
      <c r="B191" s="2"/>
      <c r="C191" s="2"/>
      <c r="D191" s="2" t="str">
        <f aca="false">IF(C191="","",IFERROR(INDEX('动作库 Exercises'!$B:$B,MATCH(C191,'动作库 Exercises'!$A:$A,0)),"未找到ID"))</f>
        <v/>
      </c>
      <c r="E191" s="2"/>
      <c r="F191" s="2"/>
      <c r="G191" s="2"/>
      <c r="H191" s="2"/>
      <c r="I191" s="2"/>
    </row>
    <row r="192" customFormat="false" ht="15" hidden="false" customHeight="false" outlineLevel="0" collapsed="false">
      <c r="A192" s="2"/>
      <c r="B192" s="2"/>
      <c r="C192" s="2"/>
      <c r="D192" s="2" t="str">
        <f aca="false">IF(C192="","",IFERROR(INDEX('动作库 Exercises'!$B:$B,MATCH(C192,'动作库 Exercises'!$A:$A,0)),"未找到ID"))</f>
        <v/>
      </c>
      <c r="E192" s="2"/>
      <c r="F192" s="2"/>
      <c r="G192" s="2"/>
      <c r="H192" s="2"/>
      <c r="I192" s="2"/>
    </row>
    <row r="193" customFormat="false" ht="15" hidden="false" customHeight="false" outlineLevel="0" collapsed="false">
      <c r="A193" s="2"/>
      <c r="B193" s="2"/>
      <c r="C193" s="2"/>
      <c r="D193" s="2" t="str">
        <f aca="false">IF(C193="","",IFERROR(INDEX('动作库 Exercises'!$B:$B,MATCH(C193,'动作库 Exercises'!$A:$A,0)),"未找到ID"))</f>
        <v/>
      </c>
      <c r="E193" s="2"/>
      <c r="F193" s="2"/>
      <c r="G193" s="2"/>
      <c r="H193" s="2"/>
      <c r="I193" s="2"/>
    </row>
    <row r="194" customFormat="false" ht="15" hidden="false" customHeight="false" outlineLevel="0" collapsed="false">
      <c r="A194" s="2"/>
      <c r="B194" s="2"/>
      <c r="C194" s="2"/>
      <c r="D194" s="2" t="str">
        <f aca="false">IF(C194="","",IFERROR(INDEX('动作库 Exercises'!$B:$B,MATCH(C194,'动作库 Exercises'!$A:$A,0)),"未找到ID"))</f>
        <v/>
      </c>
      <c r="E194" s="2"/>
      <c r="F194" s="2"/>
      <c r="G194" s="2"/>
      <c r="H194" s="2"/>
      <c r="I194" s="2"/>
    </row>
    <row r="195" customFormat="false" ht="15" hidden="false" customHeight="false" outlineLevel="0" collapsed="false">
      <c r="A195" s="2"/>
      <c r="B195" s="2"/>
      <c r="C195" s="2"/>
      <c r="D195" s="2" t="str">
        <f aca="false">IF(C195="","",IFERROR(INDEX('动作库 Exercises'!$B:$B,MATCH(C195,'动作库 Exercises'!$A:$A,0)),"未找到ID"))</f>
        <v/>
      </c>
      <c r="E195" s="2"/>
      <c r="F195" s="2"/>
      <c r="G195" s="2"/>
      <c r="H195" s="2"/>
      <c r="I195" s="2"/>
    </row>
    <row r="196" customFormat="false" ht="15" hidden="false" customHeight="false" outlineLevel="0" collapsed="false">
      <c r="A196" s="2"/>
      <c r="B196" s="2"/>
      <c r="C196" s="2"/>
      <c r="D196" s="2" t="str">
        <f aca="false">IF(C196="","",IFERROR(INDEX('动作库 Exercises'!$B:$B,MATCH(C196,'动作库 Exercises'!$A:$A,0)),"未找到ID"))</f>
        <v/>
      </c>
      <c r="E196" s="2"/>
      <c r="F196" s="2"/>
      <c r="G196" s="2"/>
      <c r="H196" s="2"/>
      <c r="I196" s="2"/>
    </row>
    <row r="197" customFormat="false" ht="15" hidden="false" customHeight="false" outlineLevel="0" collapsed="false">
      <c r="A197" s="2"/>
      <c r="B197" s="2"/>
      <c r="C197" s="2"/>
      <c r="D197" s="2" t="str">
        <f aca="false">IF(C197="","",IFERROR(INDEX('动作库 Exercises'!$B:$B,MATCH(C197,'动作库 Exercises'!$A:$A,0)),"未找到ID"))</f>
        <v/>
      </c>
      <c r="E197" s="2"/>
      <c r="F197" s="2"/>
      <c r="G197" s="2"/>
      <c r="H197" s="2"/>
      <c r="I197" s="2"/>
    </row>
    <row r="198" customFormat="false" ht="15" hidden="false" customHeight="false" outlineLevel="0" collapsed="false">
      <c r="A198" s="2"/>
      <c r="B198" s="2"/>
      <c r="C198" s="2"/>
      <c r="D198" s="2" t="str">
        <f aca="false">IF(C198="","",IFERROR(INDEX('动作库 Exercises'!$B:$B,MATCH(C198,'动作库 Exercises'!$A:$A,0)),"未找到ID"))</f>
        <v/>
      </c>
      <c r="E198" s="2"/>
      <c r="F198" s="2"/>
      <c r="G198" s="2"/>
      <c r="H198" s="2"/>
      <c r="I198" s="2"/>
    </row>
    <row r="199" customFormat="false" ht="15" hidden="false" customHeight="false" outlineLevel="0" collapsed="false">
      <c r="A199" s="2"/>
      <c r="B199" s="2"/>
      <c r="C199" s="2"/>
      <c r="D199" s="2" t="str">
        <f aca="false">IF(C199="","",IFERROR(INDEX('动作库 Exercises'!$B:$B,MATCH(C199,'动作库 Exercises'!$A:$A,0)),"未找到ID"))</f>
        <v/>
      </c>
      <c r="E199" s="2"/>
      <c r="F199" s="2"/>
      <c r="G199" s="2"/>
      <c r="H199" s="2"/>
      <c r="I199" s="2"/>
    </row>
    <row r="200" customFormat="false" ht="15" hidden="false" customHeight="false" outlineLevel="0" collapsed="false">
      <c r="A200" s="2"/>
      <c r="B200" s="2"/>
      <c r="C200" s="2"/>
      <c r="D200" s="2" t="str">
        <f aca="false">IF(C200="","",IFERROR(INDEX('动作库 Exercises'!$B:$B,MATCH(C200,'动作库 Exercises'!$A:$A,0)),"未找到ID"))</f>
        <v/>
      </c>
      <c r="E200" s="2"/>
      <c r="F200" s="2"/>
      <c r="G200" s="2"/>
      <c r="H200" s="2"/>
      <c r="I200" s="2"/>
    </row>
    <row r="201" customFormat="false" ht="15" hidden="false" customHeight="false" outlineLevel="0" collapsed="false">
      <c r="A201" s="2"/>
      <c r="B201" s="2"/>
      <c r="C201" s="2"/>
      <c r="D201" s="2" t="str">
        <f aca="false">IF(C201="","",IFERROR(INDEX('动作库 Exercises'!$B:$B,MATCH(C201,'动作库 Exercises'!$A:$A,0)),"未找到ID"))</f>
        <v/>
      </c>
      <c r="E201" s="2"/>
      <c r="F201" s="2"/>
      <c r="G201" s="2"/>
      <c r="H201" s="2"/>
      <c r="I201" s="2"/>
    </row>
    <row r="202" customFormat="false" ht="15" hidden="false" customHeight="false" outlineLevel="0" collapsed="false">
      <c r="A202" s="2"/>
      <c r="B202" s="2"/>
      <c r="C202" s="2"/>
      <c r="D202" s="2" t="str">
        <f aca="false">IF(C202="","",IFERROR(INDEX('动作库 Exercises'!$B:$B,MATCH(C202,'动作库 Exercises'!$A:$A,0)),"未找到ID"))</f>
        <v/>
      </c>
      <c r="E202" s="2"/>
      <c r="F202" s="2"/>
      <c r="G202" s="2"/>
      <c r="H202" s="2"/>
      <c r="I202" s="2"/>
    </row>
    <row r="203" customFormat="false" ht="15" hidden="false" customHeight="false" outlineLevel="0" collapsed="false">
      <c r="A203" s="2"/>
      <c r="B203" s="2"/>
      <c r="C203" s="2"/>
      <c r="D203" s="2" t="str">
        <f aca="false">IF(C203="","",IFERROR(INDEX('动作库 Exercises'!$B:$B,MATCH(C203,'动作库 Exercises'!$A:$A,0)),"未找到ID"))</f>
        <v/>
      </c>
      <c r="E203" s="2"/>
      <c r="F203" s="2"/>
      <c r="G203" s="2"/>
      <c r="H203" s="2"/>
      <c r="I203" s="2"/>
    </row>
    <row r="204" customFormat="false" ht="15" hidden="false" customHeight="false" outlineLevel="0" collapsed="false">
      <c r="A204" s="2"/>
      <c r="B204" s="2"/>
      <c r="C204" s="2"/>
      <c r="D204" s="2" t="str">
        <f aca="false">IF(C204="","",IFERROR(INDEX('动作库 Exercises'!$B:$B,MATCH(C204,'动作库 Exercises'!$A:$A,0)),"未找到ID"))</f>
        <v/>
      </c>
      <c r="E204" s="2"/>
      <c r="F204" s="2"/>
      <c r="G204" s="2"/>
      <c r="H204" s="2"/>
      <c r="I204" s="2"/>
    </row>
    <row r="205" customFormat="false" ht="15" hidden="false" customHeight="false" outlineLevel="0" collapsed="false">
      <c r="A205" s="2"/>
      <c r="B205" s="2"/>
      <c r="C205" s="2"/>
      <c r="D205" s="2" t="str">
        <f aca="false">IF(C205="","",IFERROR(INDEX('动作库 Exercises'!$B:$B,MATCH(C205,'动作库 Exercises'!$A:$A,0)),"未找到ID"))</f>
        <v/>
      </c>
      <c r="E205" s="2"/>
      <c r="F205" s="2"/>
      <c r="G205" s="2"/>
      <c r="H205" s="2"/>
      <c r="I205" s="2"/>
    </row>
    <row r="206" customFormat="false" ht="15" hidden="false" customHeight="false" outlineLevel="0" collapsed="false">
      <c r="A206" s="2"/>
      <c r="B206" s="2"/>
      <c r="C206" s="2"/>
      <c r="D206" s="2" t="str">
        <f aca="false">IF(C206="","",IFERROR(INDEX('动作库 Exercises'!$B:$B,MATCH(C206,'动作库 Exercises'!$A:$A,0)),"未找到ID"))</f>
        <v/>
      </c>
      <c r="E206" s="2"/>
      <c r="F206" s="2"/>
      <c r="G206" s="2"/>
      <c r="H206" s="2"/>
      <c r="I206" s="2"/>
    </row>
    <row r="207" customFormat="false" ht="15" hidden="false" customHeight="false" outlineLevel="0" collapsed="false">
      <c r="A207" s="2"/>
      <c r="B207" s="2"/>
      <c r="C207" s="2"/>
      <c r="D207" s="2" t="str">
        <f aca="false">IF(C207="","",IFERROR(INDEX('动作库 Exercises'!$B:$B,MATCH(C207,'动作库 Exercises'!$A:$A,0)),"未找到ID"))</f>
        <v/>
      </c>
      <c r="E207" s="2"/>
      <c r="F207" s="2"/>
      <c r="G207" s="2"/>
      <c r="H207" s="2"/>
      <c r="I207" s="2"/>
    </row>
    <row r="208" customFormat="false" ht="15" hidden="false" customHeight="false" outlineLevel="0" collapsed="false">
      <c r="A208" s="2"/>
      <c r="B208" s="2"/>
      <c r="C208" s="2"/>
      <c r="D208" s="2" t="str">
        <f aca="false">IF(C208="","",IFERROR(INDEX('动作库 Exercises'!$B:$B,MATCH(C208,'动作库 Exercises'!$A:$A,0)),"未找到ID"))</f>
        <v/>
      </c>
      <c r="E208" s="2"/>
      <c r="F208" s="2"/>
      <c r="G208" s="2"/>
      <c r="H208" s="2"/>
      <c r="I208" s="2"/>
    </row>
    <row r="209" customFormat="false" ht="15" hidden="false" customHeight="false" outlineLevel="0" collapsed="false">
      <c r="A209" s="2"/>
      <c r="B209" s="2"/>
      <c r="C209" s="2"/>
      <c r="D209" s="2" t="str">
        <f aca="false">IF(C209="","",IFERROR(INDEX('动作库 Exercises'!$B:$B,MATCH(C209,'动作库 Exercises'!$A:$A,0)),"未找到ID"))</f>
        <v/>
      </c>
      <c r="E209" s="2"/>
      <c r="F209" s="2"/>
      <c r="G209" s="2"/>
      <c r="H209" s="2"/>
      <c r="I209" s="2"/>
    </row>
    <row r="210" customFormat="false" ht="15" hidden="false" customHeight="false" outlineLevel="0" collapsed="false">
      <c r="A210" s="2"/>
      <c r="B210" s="2"/>
      <c r="C210" s="2"/>
      <c r="D210" s="2" t="str">
        <f aca="false">IF(C210="","",IFERROR(INDEX('动作库 Exercises'!$B:$B,MATCH(C210,'动作库 Exercises'!$A:$A,0)),"未找到ID"))</f>
        <v/>
      </c>
      <c r="E210" s="2"/>
      <c r="F210" s="2"/>
      <c r="G210" s="2"/>
      <c r="H210" s="2"/>
      <c r="I210" s="2"/>
    </row>
    <row r="211" customFormat="false" ht="15" hidden="false" customHeight="false" outlineLevel="0" collapsed="false">
      <c r="A211" s="2"/>
      <c r="B211" s="2"/>
      <c r="C211" s="2"/>
      <c r="D211" s="2" t="str">
        <f aca="false">IF(C211="","",IFERROR(INDEX('动作库 Exercises'!$B:$B,MATCH(C211,'动作库 Exercises'!$A:$A,0)),"未找到ID"))</f>
        <v/>
      </c>
      <c r="E211" s="2"/>
      <c r="F211" s="2"/>
      <c r="G211" s="2"/>
      <c r="H211" s="2"/>
      <c r="I211" s="2"/>
    </row>
    <row r="212" customFormat="false" ht="15" hidden="false" customHeight="false" outlineLevel="0" collapsed="false">
      <c r="A212" s="2"/>
      <c r="B212" s="2"/>
      <c r="C212" s="2"/>
      <c r="D212" s="2" t="str">
        <f aca="false">IF(C212="","",IFERROR(INDEX('动作库 Exercises'!$B:$B,MATCH(C212,'动作库 Exercises'!$A:$A,0)),"未找到ID"))</f>
        <v/>
      </c>
      <c r="E212" s="2"/>
      <c r="F212" s="2"/>
      <c r="G212" s="2"/>
      <c r="H212" s="2"/>
      <c r="I212" s="2"/>
    </row>
    <row r="213" customFormat="false" ht="15" hidden="false" customHeight="false" outlineLevel="0" collapsed="false">
      <c r="A213" s="2"/>
      <c r="B213" s="2"/>
      <c r="C213" s="2"/>
      <c r="D213" s="2" t="str">
        <f aca="false">IF(C213="","",IFERROR(INDEX('动作库 Exercises'!$B:$B,MATCH(C213,'动作库 Exercises'!$A:$A,0)),"未找到ID"))</f>
        <v/>
      </c>
      <c r="E213" s="2"/>
      <c r="F213" s="2"/>
      <c r="G213" s="2"/>
      <c r="H213" s="2"/>
      <c r="I213" s="2"/>
    </row>
    <row r="214" customFormat="false" ht="15" hidden="false" customHeight="false" outlineLevel="0" collapsed="false">
      <c r="A214" s="2"/>
      <c r="B214" s="2"/>
      <c r="C214" s="2"/>
      <c r="D214" s="2" t="str">
        <f aca="false">IF(C214="","",IFERROR(INDEX('动作库 Exercises'!$B:$B,MATCH(C214,'动作库 Exercises'!$A:$A,0)),"未找到ID"))</f>
        <v/>
      </c>
      <c r="E214" s="2"/>
      <c r="F214" s="2"/>
      <c r="G214" s="2"/>
      <c r="H214" s="2"/>
      <c r="I214" s="2"/>
    </row>
    <row r="215" customFormat="false" ht="15" hidden="false" customHeight="false" outlineLevel="0" collapsed="false">
      <c r="A215" s="2"/>
      <c r="B215" s="2"/>
      <c r="C215" s="2"/>
      <c r="D215" s="2" t="str">
        <f aca="false">IF(C215="","",IFERROR(INDEX('动作库 Exercises'!$B:$B,MATCH(C215,'动作库 Exercises'!$A:$A,0)),"未找到ID"))</f>
        <v/>
      </c>
      <c r="E215" s="2"/>
      <c r="F215" s="2"/>
      <c r="G215" s="2"/>
      <c r="H215" s="2"/>
      <c r="I215" s="2"/>
    </row>
    <row r="216" customFormat="false" ht="15" hidden="false" customHeight="false" outlineLevel="0" collapsed="false">
      <c r="A216" s="2"/>
      <c r="B216" s="2"/>
      <c r="C216" s="2"/>
      <c r="D216" s="2" t="str">
        <f aca="false">IF(C216="","",IFERROR(INDEX('动作库 Exercises'!$B:$B,MATCH(C216,'动作库 Exercises'!$A:$A,0)),"未找到ID"))</f>
        <v/>
      </c>
      <c r="E216" s="2"/>
      <c r="F216" s="2"/>
      <c r="G216" s="2"/>
      <c r="H216" s="2"/>
      <c r="I216" s="2"/>
    </row>
    <row r="217" customFormat="false" ht="15" hidden="false" customHeight="false" outlineLevel="0" collapsed="false">
      <c r="A217" s="2"/>
      <c r="B217" s="2"/>
      <c r="C217" s="2"/>
      <c r="D217" s="2" t="str">
        <f aca="false">IF(C217="","",IFERROR(INDEX('动作库 Exercises'!$B:$B,MATCH(C217,'动作库 Exercises'!$A:$A,0)),"未找到ID"))</f>
        <v/>
      </c>
      <c r="E217" s="2"/>
      <c r="F217" s="2"/>
      <c r="G217" s="2"/>
      <c r="H217" s="2"/>
      <c r="I217" s="2"/>
    </row>
    <row r="218" customFormat="false" ht="15" hidden="false" customHeight="false" outlineLevel="0" collapsed="false">
      <c r="A218" s="2"/>
      <c r="B218" s="2"/>
      <c r="C218" s="2"/>
      <c r="D218" s="2" t="str">
        <f aca="false">IF(C218="","",IFERROR(INDEX('动作库 Exercises'!$B:$B,MATCH(C218,'动作库 Exercises'!$A:$A,0)),"未找到ID"))</f>
        <v/>
      </c>
      <c r="E218" s="2"/>
      <c r="F218" s="2"/>
      <c r="G218" s="2"/>
      <c r="H218" s="2"/>
      <c r="I218" s="2"/>
    </row>
    <row r="219" customFormat="false" ht="15" hidden="false" customHeight="false" outlineLevel="0" collapsed="false">
      <c r="A219" s="2"/>
      <c r="B219" s="2"/>
      <c r="C219" s="2"/>
      <c r="D219" s="2" t="str">
        <f aca="false">IF(C219="","",IFERROR(INDEX('动作库 Exercises'!$B:$B,MATCH(C219,'动作库 Exercises'!$A:$A,0)),"未找到ID"))</f>
        <v/>
      </c>
      <c r="E219" s="2"/>
      <c r="F219" s="2"/>
      <c r="G219" s="2"/>
      <c r="H219" s="2"/>
      <c r="I219" s="2"/>
    </row>
    <row r="220" customFormat="false" ht="15" hidden="false" customHeight="false" outlineLevel="0" collapsed="false">
      <c r="A220" s="2"/>
      <c r="B220" s="2"/>
      <c r="C220" s="2"/>
      <c r="D220" s="2" t="str">
        <f aca="false">IF(C220="","",IFERROR(INDEX('动作库 Exercises'!$B:$B,MATCH(C220,'动作库 Exercises'!$A:$A,0)),"未找到ID"))</f>
        <v/>
      </c>
      <c r="E220" s="2"/>
      <c r="F220" s="2"/>
      <c r="G220" s="2"/>
      <c r="H220" s="2"/>
      <c r="I220" s="2"/>
    </row>
    <row r="221" customFormat="false" ht="15" hidden="false" customHeight="false" outlineLevel="0" collapsed="false">
      <c r="A221" s="2"/>
      <c r="B221" s="2"/>
      <c r="C221" s="2"/>
      <c r="D221" s="2" t="str">
        <f aca="false">IF(C221="","",IFERROR(INDEX('动作库 Exercises'!$B:$B,MATCH(C221,'动作库 Exercises'!$A:$A,0)),"未找到ID"))</f>
        <v/>
      </c>
      <c r="E221" s="2"/>
      <c r="F221" s="2"/>
      <c r="G221" s="2"/>
      <c r="H221" s="2"/>
      <c r="I221" s="2"/>
    </row>
    <row r="222" customFormat="false" ht="15" hidden="false" customHeight="false" outlineLevel="0" collapsed="false">
      <c r="A222" s="2"/>
      <c r="B222" s="2"/>
      <c r="C222" s="2"/>
      <c r="D222" s="2" t="str">
        <f aca="false">IF(C222="","",IFERROR(INDEX('动作库 Exercises'!$B:$B,MATCH(C222,'动作库 Exercises'!$A:$A,0)),"未找到ID"))</f>
        <v/>
      </c>
      <c r="E222" s="2"/>
      <c r="F222" s="2"/>
      <c r="G222" s="2"/>
      <c r="H222" s="2"/>
      <c r="I222" s="2"/>
    </row>
    <row r="223" customFormat="false" ht="15" hidden="false" customHeight="false" outlineLevel="0" collapsed="false">
      <c r="A223" s="2"/>
      <c r="B223" s="2"/>
      <c r="C223" s="2"/>
      <c r="D223" s="2" t="str">
        <f aca="false">IF(C223="","",IFERROR(INDEX('动作库 Exercises'!$B:$B,MATCH(C223,'动作库 Exercises'!$A:$A,0)),"未找到ID"))</f>
        <v/>
      </c>
      <c r="E223" s="2"/>
      <c r="F223" s="2"/>
      <c r="G223" s="2"/>
      <c r="H223" s="2"/>
      <c r="I223" s="2"/>
    </row>
    <row r="224" customFormat="false" ht="15" hidden="false" customHeight="false" outlineLevel="0" collapsed="false">
      <c r="A224" s="2"/>
      <c r="B224" s="2"/>
      <c r="C224" s="2"/>
      <c r="D224" s="2" t="str">
        <f aca="false">IF(C224="","",IFERROR(INDEX('动作库 Exercises'!$B:$B,MATCH(C224,'动作库 Exercises'!$A:$A,0)),"未找到ID"))</f>
        <v/>
      </c>
      <c r="E224" s="2"/>
      <c r="F224" s="2"/>
      <c r="G224" s="2"/>
      <c r="H224" s="2"/>
      <c r="I224" s="2"/>
    </row>
    <row r="225" customFormat="false" ht="15" hidden="false" customHeight="false" outlineLevel="0" collapsed="false">
      <c r="A225" s="2"/>
      <c r="B225" s="2"/>
      <c r="C225" s="2"/>
      <c r="D225" s="2" t="str">
        <f aca="false">IF(C225="","",IFERROR(INDEX('动作库 Exercises'!$B:$B,MATCH(C225,'动作库 Exercises'!$A:$A,0)),"未找到ID"))</f>
        <v/>
      </c>
      <c r="E225" s="2"/>
      <c r="F225" s="2"/>
      <c r="G225" s="2"/>
      <c r="H225" s="2"/>
      <c r="I225" s="2"/>
    </row>
    <row r="226" customFormat="false" ht="15" hidden="false" customHeight="false" outlineLevel="0" collapsed="false">
      <c r="A226" s="2"/>
      <c r="B226" s="2"/>
      <c r="C226" s="2"/>
      <c r="D226" s="2" t="str">
        <f aca="false">IF(C226="","",IFERROR(INDEX('动作库 Exercises'!$B:$B,MATCH(C226,'动作库 Exercises'!$A:$A,0)),"未找到ID"))</f>
        <v/>
      </c>
      <c r="E226" s="2"/>
      <c r="F226" s="2"/>
      <c r="G226" s="2"/>
      <c r="H226" s="2"/>
      <c r="I226" s="2"/>
    </row>
    <row r="227" customFormat="false" ht="15" hidden="false" customHeight="false" outlineLevel="0" collapsed="false">
      <c r="A227" s="2"/>
      <c r="B227" s="2"/>
      <c r="C227" s="2"/>
      <c r="D227" s="2" t="str">
        <f aca="false">IF(C227="","",IFERROR(INDEX('动作库 Exercises'!$B:$B,MATCH(C227,'动作库 Exercises'!$A:$A,0)),"未找到ID"))</f>
        <v/>
      </c>
      <c r="E227" s="2"/>
      <c r="F227" s="2"/>
      <c r="G227" s="2"/>
      <c r="H227" s="2"/>
      <c r="I227" s="2"/>
    </row>
    <row r="228" customFormat="false" ht="15" hidden="false" customHeight="false" outlineLevel="0" collapsed="false">
      <c r="A228" s="2"/>
      <c r="B228" s="2"/>
      <c r="C228" s="2"/>
      <c r="D228" s="2" t="str">
        <f aca="false">IF(C228="","",IFERROR(INDEX('动作库 Exercises'!$B:$B,MATCH(C228,'动作库 Exercises'!$A:$A,0)),"未找到ID"))</f>
        <v/>
      </c>
      <c r="E228" s="2"/>
      <c r="F228" s="2"/>
      <c r="G228" s="2"/>
      <c r="H228" s="2"/>
      <c r="I228" s="2"/>
    </row>
    <row r="229" customFormat="false" ht="15" hidden="false" customHeight="false" outlineLevel="0" collapsed="false">
      <c r="A229" s="2"/>
      <c r="B229" s="2"/>
      <c r="C229" s="2"/>
      <c r="D229" s="2" t="str">
        <f aca="false">IF(C229="","",IFERROR(INDEX('动作库 Exercises'!$B:$B,MATCH(C229,'动作库 Exercises'!$A:$A,0)),"未找到ID"))</f>
        <v/>
      </c>
      <c r="E229" s="2"/>
      <c r="F229" s="2"/>
      <c r="G229" s="2"/>
      <c r="H229" s="2"/>
      <c r="I229" s="2"/>
    </row>
    <row r="230" customFormat="false" ht="15" hidden="false" customHeight="false" outlineLevel="0" collapsed="false">
      <c r="A230" s="2"/>
      <c r="B230" s="2"/>
      <c r="C230" s="2"/>
      <c r="D230" s="2" t="str">
        <f aca="false">IF(C230="","",IFERROR(INDEX('动作库 Exercises'!$B:$B,MATCH(C230,'动作库 Exercises'!$A:$A,0)),"未找到ID"))</f>
        <v/>
      </c>
      <c r="E230" s="2"/>
      <c r="F230" s="2"/>
      <c r="G230" s="2"/>
      <c r="H230" s="2"/>
      <c r="I230" s="2"/>
    </row>
    <row r="231" customFormat="false" ht="15" hidden="false" customHeight="false" outlineLevel="0" collapsed="false">
      <c r="A231" s="2"/>
      <c r="B231" s="2"/>
      <c r="C231" s="2"/>
      <c r="D231" s="2" t="str">
        <f aca="false">IF(C231="","",IFERROR(INDEX('动作库 Exercises'!$B:$B,MATCH(C231,'动作库 Exercises'!$A:$A,0)),"未找到ID"))</f>
        <v/>
      </c>
      <c r="E231" s="2"/>
      <c r="F231" s="2"/>
      <c r="G231" s="2"/>
      <c r="H231" s="2"/>
      <c r="I231" s="2"/>
    </row>
    <row r="232" customFormat="false" ht="15" hidden="false" customHeight="false" outlineLevel="0" collapsed="false">
      <c r="A232" s="2"/>
      <c r="B232" s="2"/>
      <c r="C232" s="2"/>
      <c r="D232" s="2" t="str">
        <f aca="false">IF(C232="","",IFERROR(INDEX('动作库 Exercises'!$B:$B,MATCH(C232,'动作库 Exercises'!$A:$A,0)),"未找到ID"))</f>
        <v/>
      </c>
      <c r="E232" s="2"/>
      <c r="F232" s="2"/>
      <c r="G232" s="2"/>
      <c r="H232" s="2"/>
      <c r="I232" s="2"/>
    </row>
    <row r="233" customFormat="false" ht="15" hidden="false" customHeight="false" outlineLevel="0" collapsed="false">
      <c r="A233" s="2"/>
      <c r="B233" s="2"/>
      <c r="C233" s="2"/>
      <c r="D233" s="2" t="str">
        <f aca="false">IF(C233="","",IFERROR(INDEX('动作库 Exercises'!$B:$B,MATCH(C233,'动作库 Exercises'!$A:$A,0)),"未找到ID"))</f>
        <v/>
      </c>
      <c r="E233" s="2"/>
      <c r="F233" s="2"/>
      <c r="G233" s="2"/>
      <c r="H233" s="2"/>
      <c r="I233" s="2"/>
    </row>
    <row r="234" customFormat="false" ht="15" hidden="false" customHeight="false" outlineLevel="0" collapsed="false">
      <c r="A234" s="2"/>
      <c r="B234" s="2"/>
      <c r="C234" s="2"/>
      <c r="D234" s="2" t="str">
        <f aca="false">IF(C234="","",IFERROR(INDEX('动作库 Exercises'!$B:$B,MATCH(C234,'动作库 Exercises'!$A:$A,0)),"未找到ID"))</f>
        <v/>
      </c>
      <c r="E234" s="2"/>
      <c r="F234" s="2"/>
      <c r="G234" s="2"/>
      <c r="H234" s="2"/>
      <c r="I234" s="2"/>
    </row>
    <row r="235" customFormat="false" ht="15" hidden="false" customHeight="false" outlineLevel="0" collapsed="false">
      <c r="A235" s="2"/>
      <c r="B235" s="2"/>
      <c r="C235" s="2"/>
      <c r="D235" s="2" t="str">
        <f aca="false">IF(C235="","",IFERROR(INDEX('动作库 Exercises'!$B:$B,MATCH(C235,'动作库 Exercises'!$A:$A,0)),"未找到ID"))</f>
        <v/>
      </c>
      <c r="E235" s="2"/>
      <c r="F235" s="2"/>
      <c r="G235" s="2"/>
      <c r="H235" s="2"/>
      <c r="I235" s="2"/>
    </row>
    <row r="236" customFormat="false" ht="15" hidden="false" customHeight="false" outlineLevel="0" collapsed="false">
      <c r="A236" s="2"/>
      <c r="B236" s="2"/>
      <c r="C236" s="2"/>
      <c r="D236" s="2" t="str">
        <f aca="false">IF(C236="","",IFERROR(INDEX('动作库 Exercises'!$B:$B,MATCH(C236,'动作库 Exercises'!$A:$A,0)),"未找到ID"))</f>
        <v/>
      </c>
      <c r="E236" s="2"/>
      <c r="F236" s="2"/>
      <c r="G236" s="2"/>
      <c r="H236" s="2"/>
      <c r="I236" s="2"/>
    </row>
    <row r="237" customFormat="false" ht="15" hidden="false" customHeight="false" outlineLevel="0" collapsed="false">
      <c r="A237" s="2"/>
      <c r="B237" s="2"/>
      <c r="C237" s="2"/>
      <c r="D237" s="2" t="str">
        <f aca="false">IF(C237="","",IFERROR(INDEX('动作库 Exercises'!$B:$B,MATCH(C237,'动作库 Exercises'!$A:$A,0)),"未找到ID"))</f>
        <v/>
      </c>
      <c r="E237" s="2"/>
      <c r="F237" s="2"/>
      <c r="G237" s="2"/>
      <c r="H237" s="2"/>
      <c r="I237" s="2"/>
    </row>
    <row r="238" customFormat="false" ht="15" hidden="false" customHeight="false" outlineLevel="0" collapsed="false">
      <c r="A238" s="2"/>
      <c r="B238" s="2"/>
      <c r="C238" s="2"/>
      <c r="D238" s="2" t="str">
        <f aca="false">IF(C238="","",IFERROR(INDEX('动作库 Exercises'!$B:$B,MATCH(C238,'动作库 Exercises'!$A:$A,0)),"未找到ID"))</f>
        <v/>
      </c>
      <c r="E238" s="2"/>
      <c r="F238" s="2"/>
      <c r="G238" s="2"/>
      <c r="H238" s="2"/>
      <c r="I238" s="2"/>
    </row>
    <row r="239" customFormat="false" ht="15" hidden="false" customHeight="false" outlineLevel="0" collapsed="false">
      <c r="A239" s="2"/>
      <c r="B239" s="2"/>
      <c r="C239" s="2"/>
      <c r="D239" s="2" t="str">
        <f aca="false">IF(C239="","",IFERROR(INDEX('动作库 Exercises'!$B:$B,MATCH(C239,'动作库 Exercises'!$A:$A,0)),"未找到ID"))</f>
        <v/>
      </c>
      <c r="E239" s="2"/>
      <c r="F239" s="2"/>
      <c r="G239" s="2"/>
      <c r="H239" s="2"/>
      <c r="I239" s="2"/>
    </row>
    <row r="240" customFormat="false" ht="15" hidden="false" customHeight="false" outlineLevel="0" collapsed="false">
      <c r="A240" s="2"/>
      <c r="B240" s="2"/>
      <c r="C240" s="2"/>
      <c r="D240" s="2" t="str">
        <f aca="false">IF(C240="","",IFERROR(INDEX('动作库 Exercises'!$B:$B,MATCH(C240,'动作库 Exercises'!$A:$A,0)),"未找到ID"))</f>
        <v/>
      </c>
      <c r="E240" s="2"/>
      <c r="F240" s="2"/>
      <c r="G240" s="2"/>
      <c r="H240" s="2"/>
      <c r="I240" s="2"/>
    </row>
    <row r="241" customFormat="false" ht="15" hidden="false" customHeight="false" outlineLevel="0" collapsed="false">
      <c r="A241" s="2"/>
      <c r="B241" s="2"/>
      <c r="C241" s="2"/>
      <c r="D241" s="2" t="str">
        <f aca="false">IF(C241="","",IFERROR(INDEX('动作库 Exercises'!$B:$B,MATCH(C241,'动作库 Exercises'!$A:$A,0)),"未找到ID"))</f>
        <v/>
      </c>
      <c r="E241" s="2"/>
      <c r="F241" s="2"/>
      <c r="G241" s="2"/>
      <c r="H241" s="2"/>
      <c r="I241" s="2"/>
    </row>
    <row r="242" customFormat="false" ht="15" hidden="false" customHeight="false" outlineLevel="0" collapsed="false">
      <c r="A242" s="2"/>
      <c r="B242" s="2"/>
      <c r="C242" s="2"/>
      <c r="D242" s="2" t="str">
        <f aca="false">IF(C242="","",IFERROR(INDEX('动作库 Exercises'!$B:$B,MATCH(C242,'动作库 Exercises'!$A:$A,0)),"未找到ID"))</f>
        <v/>
      </c>
      <c r="E242" s="2"/>
      <c r="F242" s="2"/>
      <c r="G242" s="2"/>
      <c r="H242" s="2"/>
      <c r="I242" s="2"/>
    </row>
    <row r="243" customFormat="false" ht="15" hidden="false" customHeight="false" outlineLevel="0" collapsed="false">
      <c r="A243" s="2"/>
      <c r="B243" s="2"/>
      <c r="C243" s="2"/>
      <c r="D243" s="2" t="str">
        <f aca="false">IF(C243="","",IFERROR(INDEX('动作库 Exercises'!$B:$B,MATCH(C243,'动作库 Exercises'!$A:$A,0)),"未找到ID"))</f>
        <v/>
      </c>
      <c r="E243" s="2"/>
      <c r="F243" s="2"/>
      <c r="G243" s="2"/>
      <c r="H243" s="2"/>
      <c r="I243" s="2"/>
    </row>
    <row r="244" customFormat="false" ht="15" hidden="false" customHeight="false" outlineLevel="0" collapsed="false">
      <c r="A244" s="2"/>
      <c r="B244" s="2"/>
      <c r="C244" s="2"/>
      <c r="D244" s="2" t="str">
        <f aca="false">IF(C244="","",IFERROR(INDEX('动作库 Exercises'!$B:$B,MATCH(C244,'动作库 Exercises'!$A:$A,0)),"未找到ID"))</f>
        <v/>
      </c>
      <c r="E244" s="2"/>
      <c r="F244" s="2"/>
      <c r="G244" s="2"/>
      <c r="H244" s="2"/>
      <c r="I244" s="2"/>
    </row>
    <row r="245" customFormat="false" ht="15" hidden="false" customHeight="false" outlineLevel="0" collapsed="false">
      <c r="A245" s="2"/>
      <c r="B245" s="2"/>
      <c r="C245" s="2"/>
      <c r="D245" s="2" t="str">
        <f aca="false">IF(C245="","",IFERROR(INDEX('动作库 Exercises'!$B:$B,MATCH(C245,'动作库 Exercises'!$A:$A,0)),"未找到ID"))</f>
        <v/>
      </c>
      <c r="E245" s="2"/>
      <c r="F245" s="2"/>
      <c r="G245" s="2"/>
      <c r="H245" s="2"/>
      <c r="I245" s="2"/>
    </row>
    <row r="246" customFormat="false" ht="15" hidden="false" customHeight="false" outlineLevel="0" collapsed="false">
      <c r="A246" s="2"/>
      <c r="B246" s="2"/>
      <c r="C246" s="2"/>
      <c r="D246" s="2" t="str">
        <f aca="false">IF(C246="","",IFERROR(INDEX('动作库 Exercises'!$B:$B,MATCH(C246,'动作库 Exercises'!$A:$A,0)),"未找到ID"))</f>
        <v/>
      </c>
      <c r="E246" s="2"/>
      <c r="F246" s="2"/>
      <c r="G246" s="2"/>
      <c r="H246" s="2"/>
      <c r="I246" s="2"/>
    </row>
    <row r="247" customFormat="false" ht="15" hidden="false" customHeight="false" outlineLevel="0" collapsed="false">
      <c r="A247" s="2"/>
      <c r="B247" s="2"/>
      <c r="C247" s="2"/>
      <c r="D247" s="2" t="str">
        <f aca="false">IF(C247="","",IFERROR(INDEX('动作库 Exercises'!$B:$B,MATCH(C247,'动作库 Exercises'!$A:$A,0)),"未找到ID"))</f>
        <v/>
      </c>
      <c r="E247" s="2"/>
      <c r="F247" s="2"/>
      <c r="G247" s="2"/>
      <c r="H247" s="2"/>
      <c r="I247" s="2"/>
    </row>
    <row r="248" customFormat="false" ht="15" hidden="false" customHeight="false" outlineLevel="0" collapsed="false">
      <c r="A248" s="2"/>
      <c r="B248" s="2"/>
      <c r="C248" s="2"/>
      <c r="D248" s="2" t="str">
        <f aca="false">IF(C248="","",IFERROR(INDEX('动作库 Exercises'!$B:$B,MATCH(C248,'动作库 Exercises'!$A:$A,0)),"未找到ID"))</f>
        <v/>
      </c>
      <c r="E248" s="2"/>
      <c r="F248" s="2"/>
      <c r="G248" s="2"/>
      <c r="H248" s="2"/>
      <c r="I248" s="2"/>
    </row>
    <row r="249" customFormat="false" ht="15" hidden="false" customHeight="false" outlineLevel="0" collapsed="false">
      <c r="A249" s="2"/>
      <c r="B249" s="2"/>
      <c r="C249" s="2"/>
      <c r="D249" s="2" t="str">
        <f aca="false">IF(C249="","",IFERROR(INDEX('动作库 Exercises'!$B:$B,MATCH(C249,'动作库 Exercises'!$A:$A,0)),"未找到ID"))</f>
        <v/>
      </c>
      <c r="E249" s="2"/>
      <c r="F249" s="2"/>
      <c r="G249" s="2"/>
      <c r="H249" s="2"/>
      <c r="I249" s="2"/>
    </row>
    <row r="250" customFormat="false" ht="15" hidden="false" customHeight="false" outlineLevel="0" collapsed="false">
      <c r="A250" s="2"/>
      <c r="B250" s="2"/>
      <c r="C250" s="2"/>
      <c r="D250" s="2" t="str">
        <f aca="false">IF(C250="","",IFERROR(INDEX('动作库 Exercises'!$B:$B,MATCH(C250,'动作库 Exercises'!$A:$A,0)),"未找到ID"))</f>
        <v/>
      </c>
      <c r="E250" s="2"/>
      <c r="F250" s="2"/>
      <c r="G250" s="2"/>
      <c r="H250" s="2"/>
      <c r="I250" s="2"/>
    </row>
    <row r="251" customFormat="false" ht="15" hidden="false" customHeight="false" outlineLevel="0" collapsed="false">
      <c r="A251" s="2"/>
      <c r="B251" s="2"/>
      <c r="C251" s="2"/>
      <c r="D251" s="2" t="str">
        <f aca="false">IF(C251="","",IFERROR(INDEX('动作库 Exercises'!$B:$B,MATCH(C251,'动作库 Exercises'!$A:$A,0)),"未找到ID"))</f>
        <v/>
      </c>
      <c r="E251" s="2"/>
      <c r="F251" s="2"/>
      <c r="G251" s="2"/>
      <c r="H251" s="2"/>
      <c r="I251" s="2"/>
    </row>
    <row r="252" customFormat="false" ht="15" hidden="false" customHeight="false" outlineLevel="0" collapsed="false">
      <c r="A252" s="2"/>
      <c r="B252" s="2"/>
      <c r="C252" s="2"/>
      <c r="D252" s="2" t="str">
        <f aca="false">IF(C252="","",IFERROR(INDEX('动作库 Exercises'!$B:$B,MATCH(C252,'动作库 Exercises'!$A:$A,0)),"未找到ID"))</f>
        <v/>
      </c>
      <c r="E252" s="2"/>
      <c r="F252" s="2"/>
      <c r="G252" s="2"/>
      <c r="H252" s="2"/>
      <c r="I252" s="2"/>
    </row>
    <row r="253" customFormat="false" ht="15" hidden="false" customHeight="false" outlineLevel="0" collapsed="false">
      <c r="A253" s="2"/>
      <c r="B253" s="2"/>
      <c r="C253" s="2"/>
      <c r="D253" s="2" t="str">
        <f aca="false">IF(C253="","",IFERROR(INDEX('动作库 Exercises'!$B:$B,MATCH(C253,'动作库 Exercises'!$A:$A,0)),"未找到ID"))</f>
        <v/>
      </c>
      <c r="E253" s="2"/>
      <c r="F253" s="2"/>
      <c r="G253" s="2"/>
      <c r="H253" s="2"/>
      <c r="I253" s="2"/>
    </row>
    <row r="254" customFormat="false" ht="15" hidden="false" customHeight="false" outlineLevel="0" collapsed="false">
      <c r="A254" s="2"/>
      <c r="B254" s="2"/>
      <c r="C254" s="2"/>
      <c r="D254" s="2" t="str">
        <f aca="false">IF(C254="","",IFERROR(INDEX('动作库 Exercises'!$B:$B,MATCH(C254,'动作库 Exercises'!$A:$A,0)),"未找到ID"))</f>
        <v/>
      </c>
      <c r="E254" s="2"/>
      <c r="F254" s="2"/>
      <c r="G254" s="2"/>
      <c r="H254" s="2"/>
      <c r="I254" s="2"/>
    </row>
    <row r="255" customFormat="false" ht="15" hidden="false" customHeight="false" outlineLevel="0" collapsed="false">
      <c r="A255" s="2"/>
      <c r="B255" s="2"/>
      <c r="C255" s="2"/>
      <c r="D255" s="2" t="str">
        <f aca="false">IF(C255="","",IFERROR(INDEX('动作库 Exercises'!$B:$B,MATCH(C255,'动作库 Exercises'!$A:$A,0)),"未找到ID"))</f>
        <v/>
      </c>
      <c r="E255" s="2"/>
      <c r="F255" s="2"/>
      <c r="G255" s="2"/>
      <c r="H255" s="2"/>
      <c r="I255" s="2"/>
    </row>
    <row r="256" customFormat="false" ht="15" hidden="false" customHeight="false" outlineLevel="0" collapsed="false">
      <c r="A256" s="2"/>
      <c r="B256" s="2"/>
      <c r="C256" s="2"/>
      <c r="D256" s="2" t="str">
        <f aca="false">IF(C256="","",IFERROR(INDEX('动作库 Exercises'!$B:$B,MATCH(C256,'动作库 Exercises'!$A:$A,0)),"未找到ID"))</f>
        <v/>
      </c>
      <c r="E256" s="2"/>
      <c r="F256" s="2"/>
      <c r="G256" s="2"/>
      <c r="H256" s="2"/>
      <c r="I256" s="2"/>
    </row>
    <row r="257" customFormat="false" ht="15" hidden="false" customHeight="false" outlineLevel="0" collapsed="false">
      <c r="A257" s="2"/>
      <c r="B257" s="2"/>
      <c r="C257" s="2"/>
      <c r="D257" s="2" t="str">
        <f aca="false">IF(C257="","",IFERROR(INDEX('动作库 Exercises'!$B:$B,MATCH(C257,'动作库 Exercises'!$A:$A,0)),"未找到ID"))</f>
        <v/>
      </c>
      <c r="E257" s="2"/>
      <c r="F257" s="2"/>
      <c r="G257" s="2"/>
      <c r="H257" s="2"/>
      <c r="I257" s="2"/>
    </row>
    <row r="258" customFormat="false" ht="15" hidden="false" customHeight="false" outlineLevel="0" collapsed="false">
      <c r="A258" s="2"/>
      <c r="B258" s="2"/>
      <c r="C258" s="2"/>
      <c r="D258" s="2" t="str">
        <f aca="false">IF(C258="","",IFERROR(INDEX('动作库 Exercises'!$B:$B,MATCH(C258,'动作库 Exercises'!$A:$A,0)),"未找到ID"))</f>
        <v/>
      </c>
      <c r="E258" s="2"/>
      <c r="F258" s="2"/>
      <c r="G258" s="2"/>
      <c r="H258" s="2"/>
      <c r="I258" s="2"/>
    </row>
    <row r="259" customFormat="false" ht="15" hidden="false" customHeight="false" outlineLevel="0" collapsed="false">
      <c r="A259" s="2"/>
      <c r="B259" s="2"/>
      <c r="C259" s="2"/>
      <c r="D259" s="2" t="str">
        <f aca="false">IF(C259="","",IFERROR(INDEX('动作库 Exercises'!$B:$B,MATCH(C259,'动作库 Exercises'!$A:$A,0)),"未找到ID"))</f>
        <v/>
      </c>
      <c r="E259" s="2"/>
      <c r="F259" s="2"/>
      <c r="G259" s="2"/>
      <c r="H259" s="2"/>
      <c r="I259" s="2"/>
    </row>
    <row r="260" customFormat="false" ht="15" hidden="false" customHeight="false" outlineLevel="0" collapsed="false">
      <c r="A260" s="2"/>
      <c r="B260" s="2"/>
      <c r="C260" s="2"/>
      <c r="D260" s="2" t="str">
        <f aca="false">IF(C260="","",IFERROR(INDEX('动作库 Exercises'!$B:$B,MATCH(C260,'动作库 Exercises'!$A:$A,0)),"未找到ID"))</f>
        <v/>
      </c>
      <c r="E260" s="2"/>
      <c r="F260" s="2"/>
      <c r="G260" s="2"/>
      <c r="H260" s="2"/>
      <c r="I260" s="2"/>
    </row>
    <row r="261" customFormat="false" ht="15" hidden="false" customHeight="false" outlineLevel="0" collapsed="false">
      <c r="A261" s="2"/>
      <c r="B261" s="2"/>
      <c r="C261" s="2"/>
      <c r="D261" s="2" t="str">
        <f aca="false">IF(C261="","",IFERROR(INDEX('动作库 Exercises'!$B:$B,MATCH(C261,'动作库 Exercises'!$A:$A,0)),"未找到ID"))</f>
        <v/>
      </c>
      <c r="E261" s="2"/>
      <c r="F261" s="2"/>
      <c r="G261" s="2"/>
      <c r="H261" s="2"/>
      <c r="I261" s="2"/>
    </row>
    <row r="262" customFormat="false" ht="15" hidden="false" customHeight="false" outlineLevel="0" collapsed="false">
      <c r="A262" s="2"/>
      <c r="B262" s="2"/>
      <c r="C262" s="2"/>
      <c r="D262" s="2" t="str">
        <f aca="false">IF(C262="","",IFERROR(INDEX('动作库 Exercises'!$B:$B,MATCH(C262,'动作库 Exercises'!$A:$A,0)),"未找到ID"))</f>
        <v/>
      </c>
      <c r="E262" s="2"/>
      <c r="F262" s="2"/>
      <c r="G262" s="2"/>
      <c r="H262" s="2"/>
      <c r="I262" s="2"/>
    </row>
    <row r="263" customFormat="false" ht="15" hidden="false" customHeight="false" outlineLevel="0" collapsed="false">
      <c r="A263" s="2"/>
      <c r="B263" s="2"/>
      <c r="C263" s="2"/>
      <c r="D263" s="2" t="str">
        <f aca="false">IF(C263="","",IFERROR(INDEX('动作库 Exercises'!$B:$B,MATCH(C263,'动作库 Exercises'!$A:$A,0)),"未找到ID"))</f>
        <v/>
      </c>
      <c r="E263" s="2"/>
      <c r="F263" s="2"/>
      <c r="G263" s="2"/>
      <c r="H263" s="2"/>
      <c r="I263" s="2"/>
    </row>
    <row r="264" customFormat="false" ht="15" hidden="false" customHeight="false" outlineLevel="0" collapsed="false">
      <c r="A264" s="2"/>
      <c r="B264" s="2"/>
      <c r="C264" s="2"/>
      <c r="D264" s="2" t="str">
        <f aca="false">IF(C264="","",IFERROR(INDEX('动作库 Exercises'!$B:$B,MATCH(C264,'动作库 Exercises'!$A:$A,0)),"未找到ID"))</f>
        <v/>
      </c>
      <c r="E264" s="2"/>
      <c r="F264" s="2"/>
      <c r="G264" s="2"/>
      <c r="H264" s="2"/>
      <c r="I264" s="2"/>
    </row>
    <row r="265" customFormat="false" ht="15" hidden="false" customHeight="false" outlineLevel="0" collapsed="false">
      <c r="A265" s="2"/>
      <c r="B265" s="2"/>
      <c r="C265" s="2"/>
      <c r="D265" s="2" t="str">
        <f aca="false">IF(C265="","",IFERROR(INDEX('动作库 Exercises'!$B:$B,MATCH(C265,'动作库 Exercises'!$A:$A,0)),"未找到ID"))</f>
        <v/>
      </c>
      <c r="E265" s="2"/>
      <c r="F265" s="2"/>
      <c r="G265" s="2"/>
      <c r="H265" s="2"/>
      <c r="I265" s="2"/>
    </row>
    <row r="266" customFormat="false" ht="15" hidden="false" customHeight="false" outlineLevel="0" collapsed="false">
      <c r="A266" s="2"/>
      <c r="B266" s="2"/>
      <c r="C266" s="2"/>
      <c r="D266" s="2" t="str">
        <f aca="false">IF(C266="","",IFERROR(INDEX('动作库 Exercises'!$B:$B,MATCH(C266,'动作库 Exercises'!$A:$A,0)),"未找到ID"))</f>
        <v/>
      </c>
      <c r="E266" s="2"/>
      <c r="F266" s="2"/>
      <c r="G266" s="2"/>
      <c r="H266" s="2"/>
      <c r="I266" s="2"/>
    </row>
    <row r="267" customFormat="false" ht="15" hidden="false" customHeight="false" outlineLevel="0" collapsed="false">
      <c r="A267" s="2"/>
      <c r="B267" s="2"/>
      <c r="C267" s="2"/>
      <c r="D267" s="2" t="str">
        <f aca="false">IF(C267="","",IFERROR(INDEX('动作库 Exercises'!$B:$B,MATCH(C267,'动作库 Exercises'!$A:$A,0)),"未找到ID"))</f>
        <v/>
      </c>
      <c r="E267" s="2"/>
      <c r="F267" s="2"/>
      <c r="G267" s="2"/>
      <c r="H267" s="2"/>
      <c r="I267" s="2"/>
    </row>
    <row r="268" customFormat="false" ht="15" hidden="false" customHeight="false" outlineLevel="0" collapsed="false">
      <c r="A268" s="2"/>
      <c r="B268" s="2"/>
      <c r="C268" s="2"/>
      <c r="D268" s="2" t="str">
        <f aca="false">IF(C268="","",IFERROR(INDEX('动作库 Exercises'!$B:$B,MATCH(C268,'动作库 Exercises'!$A:$A,0)),"未找到ID"))</f>
        <v/>
      </c>
      <c r="E268" s="2"/>
      <c r="F268" s="2"/>
      <c r="G268" s="2"/>
      <c r="H268" s="2"/>
      <c r="I268" s="2"/>
    </row>
    <row r="269" customFormat="false" ht="15" hidden="false" customHeight="false" outlineLevel="0" collapsed="false">
      <c r="A269" s="2"/>
      <c r="B269" s="2"/>
      <c r="C269" s="2"/>
      <c r="D269" s="2" t="str">
        <f aca="false">IF(C269="","",IFERROR(INDEX('动作库 Exercises'!$B:$B,MATCH(C269,'动作库 Exercises'!$A:$A,0)),"未找到ID"))</f>
        <v/>
      </c>
      <c r="E269" s="2"/>
      <c r="F269" s="2"/>
      <c r="G269" s="2"/>
      <c r="H269" s="2"/>
      <c r="I269" s="2"/>
    </row>
    <row r="270" customFormat="false" ht="15" hidden="false" customHeight="false" outlineLevel="0" collapsed="false">
      <c r="A270" s="2"/>
      <c r="B270" s="2"/>
      <c r="C270" s="2"/>
      <c r="D270" s="2" t="str">
        <f aca="false">IF(C270="","",IFERROR(INDEX('动作库 Exercises'!$B:$B,MATCH(C270,'动作库 Exercises'!$A:$A,0)),"未找到ID"))</f>
        <v/>
      </c>
      <c r="E270" s="2"/>
      <c r="F270" s="2"/>
      <c r="G270" s="2"/>
      <c r="H270" s="2"/>
      <c r="I270" s="2"/>
    </row>
    <row r="271" customFormat="false" ht="15" hidden="false" customHeight="false" outlineLevel="0" collapsed="false">
      <c r="A271" s="2"/>
      <c r="B271" s="2"/>
      <c r="C271" s="2"/>
      <c r="D271" s="2" t="str">
        <f aca="false">IF(C271="","",IFERROR(INDEX('动作库 Exercises'!$B:$B,MATCH(C271,'动作库 Exercises'!$A:$A,0)),"未找到ID"))</f>
        <v/>
      </c>
      <c r="E271" s="2"/>
      <c r="F271" s="2"/>
      <c r="G271" s="2"/>
      <c r="H271" s="2"/>
      <c r="I271" s="2"/>
    </row>
    <row r="272" customFormat="false" ht="15" hidden="false" customHeight="false" outlineLevel="0" collapsed="false">
      <c r="A272" s="2"/>
      <c r="B272" s="2"/>
      <c r="C272" s="2"/>
      <c r="D272" s="2" t="str">
        <f aca="false">IF(C272="","",IFERROR(INDEX('动作库 Exercises'!$B:$B,MATCH(C272,'动作库 Exercises'!$A:$A,0)),"未找到ID"))</f>
        <v/>
      </c>
      <c r="E272" s="2"/>
      <c r="F272" s="2"/>
      <c r="G272" s="2"/>
      <c r="H272" s="2"/>
      <c r="I272" s="2"/>
    </row>
    <row r="273" customFormat="false" ht="15" hidden="false" customHeight="false" outlineLevel="0" collapsed="false">
      <c r="A273" s="2"/>
      <c r="B273" s="2"/>
      <c r="C273" s="2"/>
      <c r="D273" s="2" t="str">
        <f aca="false">IF(C273="","",IFERROR(INDEX('动作库 Exercises'!$B:$B,MATCH(C273,'动作库 Exercises'!$A:$A,0)),"未找到ID"))</f>
        <v/>
      </c>
      <c r="E273" s="2"/>
      <c r="F273" s="2"/>
      <c r="G273" s="2"/>
      <c r="H273" s="2"/>
      <c r="I273" s="2"/>
    </row>
    <row r="274" customFormat="false" ht="15" hidden="false" customHeight="false" outlineLevel="0" collapsed="false">
      <c r="A274" s="2"/>
      <c r="B274" s="2"/>
      <c r="C274" s="2"/>
      <c r="D274" s="2" t="str">
        <f aca="false">IF(C274="","",IFERROR(INDEX('动作库 Exercises'!$B:$B,MATCH(C274,'动作库 Exercises'!$A:$A,0)),"未找到ID"))</f>
        <v/>
      </c>
      <c r="E274" s="2"/>
      <c r="F274" s="2"/>
      <c r="G274" s="2"/>
      <c r="H274" s="2"/>
      <c r="I274" s="2"/>
    </row>
    <row r="275" customFormat="false" ht="15" hidden="false" customHeight="false" outlineLevel="0" collapsed="false">
      <c r="A275" s="2"/>
      <c r="B275" s="2"/>
      <c r="C275" s="2"/>
      <c r="D275" s="2" t="str">
        <f aca="false">IF(C275="","",IFERROR(INDEX('动作库 Exercises'!$B:$B,MATCH(C275,'动作库 Exercises'!$A:$A,0)),"未找到ID"))</f>
        <v/>
      </c>
      <c r="E275" s="2"/>
      <c r="F275" s="2"/>
      <c r="G275" s="2"/>
      <c r="H275" s="2"/>
      <c r="I275" s="2"/>
    </row>
    <row r="276" customFormat="false" ht="15" hidden="false" customHeight="false" outlineLevel="0" collapsed="false">
      <c r="A276" s="2"/>
      <c r="B276" s="2"/>
      <c r="C276" s="2"/>
      <c r="D276" s="2" t="str">
        <f aca="false">IF(C276="","",IFERROR(INDEX('动作库 Exercises'!$B:$B,MATCH(C276,'动作库 Exercises'!$A:$A,0)),"未找到ID"))</f>
        <v/>
      </c>
      <c r="E276" s="2"/>
      <c r="F276" s="2"/>
      <c r="G276" s="2"/>
      <c r="H276" s="2"/>
      <c r="I276" s="2"/>
    </row>
    <row r="277" customFormat="false" ht="15" hidden="false" customHeight="false" outlineLevel="0" collapsed="false">
      <c r="A277" s="2"/>
      <c r="B277" s="2"/>
      <c r="C277" s="2"/>
      <c r="D277" s="2" t="str">
        <f aca="false">IF(C277="","",IFERROR(INDEX('动作库 Exercises'!$B:$B,MATCH(C277,'动作库 Exercises'!$A:$A,0)),"未找到ID"))</f>
        <v/>
      </c>
      <c r="E277" s="2"/>
      <c r="F277" s="2"/>
      <c r="G277" s="2"/>
      <c r="H277" s="2"/>
      <c r="I277" s="2"/>
    </row>
    <row r="278" customFormat="false" ht="15" hidden="false" customHeight="false" outlineLevel="0" collapsed="false">
      <c r="A278" s="2"/>
      <c r="B278" s="2"/>
      <c r="C278" s="2"/>
      <c r="D278" s="2" t="str">
        <f aca="false">IF(C278="","",IFERROR(INDEX('动作库 Exercises'!$B:$B,MATCH(C278,'动作库 Exercises'!$A:$A,0)),"未找到ID"))</f>
        <v/>
      </c>
      <c r="E278" s="2"/>
      <c r="F278" s="2"/>
      <c r="G278" s="2"/>
      <c r="H278" s="2"/>
      <c r="I278" s="2"/>
    </row>
    <row r="279" customFormat="false" ht="15" hidden="false" customHeight="false" outlineLevel="0" collapsed="false">
      <c r="A279" s="2"/>
      <c r="B279" s="2"/>
      <c r="C279" s="2"/>
      <c r="D279" s="2" t="str">
        <f aca="false">IF(C279="","",IFERROR(INDEX('动作库 Exercises'!$B:$B,MATCH(C279,'动作库 Exercises'!$A:$A,0)),"未找到ID"))</f>
        <v/>
      </c>
      <c r="E279" s="2"/>
      <c r="F279" s="2"/>
      <c r="G279" s="2"/>
      <c r="H279" s="2"/>
      <c r="I279" s="2"/>
    </row>
    <row r="280" customFormat="false" ht="15" hidden="false" customHeight="false" outlineLevel="0" collapsed="false">
      <c r="A280" s="2"/>
      <c r="B280" s="2"/>
      <c r="C280" s="2"/>
      <c r="D280" s="2" t="str">
        <f aca="false">IF(C280="","",IFERROR(INDEX('动作库 Exercises'!$B:$B,MATCH(C280,'动作库 Exercises'!$A:$A,0)),"未找到ID"))</f>
        <v/>
      </c>
      <c r="E280" s="2"/>
      <c r="F280" s="2"/>
      <c r="G280" s="2"/>
      <c r="H280" s="2"/>
      <c r="I280" s="2"/>
    </row>
    <row r="281" customFormat="false" ht="15" hidden="false" customHeight="false" outlineLevel="0" collapsed="false">
      <c r="A281" s="2"/>
      <c r="B281" s="2"/>
      <c r="C281" s="2"/>
      <c r="D281" s="2" t="str">
        <f aca="false">IF(C281="","",IFERROR(INDEX('动作库 Exercises'!$B:$B,MATCH(C281,'动作库 Exercises'!$A:$A,0)),"未找到ID"))</f>
        <v/>
      </c>
      <c r="E281" s="2"/>
      <c r="F281" s="2"/>
      <c r="G281" s="2"/>
      <c r="H281" s="2"/>
      <c r="I281" s="2"/>
    </row>
    <row r="282" customFormat="false" ht="15" hidden="false" customHeight="false" outlineLevel="0" collapsed="false">
      <c r="A282" s="2"/>
      <c r="B282" s="2"/>
      <c r="C282" s="2"/>
      <c r="D282" s="2" t="str">
        <f aca="false">IF(C282="","",IFERROR(INDEX('动作库 Exercises'!$B:$B,MATCH(C282,'动作库 Exercises'!$A:$A,0)),"未找到ID"))</f>
        <v/>
      </c>
      <c r="E282" s="2"/>
      <c r="F282" s="2"/>
      <c r="G282" s="2"/>
      <c r="H282" s="2"/>
      <c r="I282" s="2"/>
    </row>
    <row r="283" customFormat="false" ht="15" hidden="false" customHeight="false" outlineLevel="0" collapsed="false">
      <c r="A283" s="2"/>
      <c r="B283" s="2"/>
      <c r="C283" s="2"/>
      <c r="D283" s="2" t="str">
        <f aca="false">IF(C283="","",IFERROR(INDEX('动作库 Exercises'!$B:$B,MATCH(C283,'动作库 Exercises'!$A:$A,0)),"未找到ID"))</f>
        <v/>
      </c>
      <c r="E283" s="2"/>
      <c r="F283" s="2"/>
      <c r="G283" s="2"/>
      <c r="H283" s="2"/>
      <c r="I283" s="2"/>
    </row>
    <row r="284" customFormat="false" ht="15" hidden="false" customHeight="false" outlineLevel="0" collapsed="false">
      <c r="A284" s="2"/>
      <c r="B284" s="2"/>
      <c r="C284" s="2"/>
      <c r="D284" s="2" t="str">
        <f aca="false">IF(C284="","",IFERROR(INDEX('动作库 Exercises'!$B:$B,MATCH(C284,'动作库 Exercises'!$A:$A,0)),"未找到ID"))</f>
        <v/>
      </c>
      <c r="E284" s="2"/>
      <c r="F284" s="2"/>
      <c r="G284" s="2"/>
      <c r="H284" s="2"/>
      <c r="I284" s="2"/>
    </row>
    <row r="285" customFormat="false" ht="15" hidden="false" customHeight="false" outlineLevel="0" collapsed="false">
      <c r="A285" s="2"/>
      <c r="B285" s="2"/>
      <c r="C285" s="2"/>
      <c r="D285" s="2" t="str">
        <f aca="false">IF(C285="","",IFERROR(INDEX('动作库 Exercises'!$B:$B,MATCH(C285,'动作库 Exercises'!$A:$A,0)),"未找到ID"))</f>
        <v/>
      </c>
      <c r="E285" s="2"/>
      <c r="F285" s="2"/>
      <c r="G285" s="2"/>
      <c r="H285" s="2"/>
      <c r="I285" s="2"/>
    </row>
    <row r="286" customFormat="false" ht="15" hidden="false" customHeight="false" outlineLevel="0" collapsed="false">
      <c r="A286" s="2"/>
      <c r="B286" s="2"/>
      <c r="C286" s="2"/>
      <c r="D286" s="2" t="str">
        <f aca="false">IF(C286="","",IFERROR(INDEX('动作库 Exercises'!$B:$B,MATCH(C286,'动作库 Exercises'!$A:$A,0)),"未找到ID"))</f>
        <v/>
      </c>
      <c r="E286" s="2"/>
      <c r="F286" s="2"/>
      <c r="G286" s="2"/>
      <c r="H286" s="2"/>
      <c r="I286" s="2"/>
    </row>
    <row r="287" customFormat="false" ht="15" hidden="false" customHeight="false" outlineLevel="0" collapsed="false">
      <c r="A287" s="2"/>
      <c r="B287" s="2"/>
      <c r="C287" s="2"/>
      <c r="D287" s="2" t="str">
        <f aca="false">IF(C287="","",IFERROR(INDEX('动作库 Exercises'!$B:$B,MATCH(C287,'动作库 Exercises'!$A:$A,0)),"未找到ID"))</f>
        <v/>
      </c>
      <c r="E287" s="2"/>
      <c r="F287" s="2"/>
      <c r="G287" s="2"/>
      <c r="H287" s="2"/>
      <c r="I287" s="2"/>
    </row>
    <row r="288" customFormat="false" ht="15" hidden="false" customHeight="false" outlineLevel="0" collapsed="false">
      <c r="A288" s="2"/>
      <c r="B288" s="2"/>
      <c r="C288" s="2"/>
      <c r="D288" s="2" t="str">
        <f aca="false">IF(C288="","",IFERROR(INDEX('动作库 Exercises'!$B:$B,MATCH(C288,'动作库 Exercises'!$A:$A,0)),"未找到ID"))</f>
        <v/>
      </c>
      <c r="E288" s="2"/>
      <c r="F288" s="2"/>
      <c r="G288" s="2"/>
      <c r="H288" s="2"/>
      <c r="I288" s="2"/>
    </row>
    <row r="289" customFormat="false" ht="15" hidden="false" customHeight="false" outlineLevel="0" collapsed="false">
      <c r="A289" s="2"/>
      <c r="B289" s="2"/>
      <c r="C289" s="2"/>
      <c r="D289" s="2" t="str">
        <f aca="false">IF(C289="","",IFERROR(INDEX('动作库 Exercises'!$B:$B,MATCH(C289,'动作库 Exercises'!$A:$A,0)),"未找到ID"))</f>
        <v/>
      </c>
      <c r="E289" s="2"/>
      <c r="F289" s="2"/>
      <c r="G289" s="2"/>
      <c r="H289" s="2"/>
      <c r="I289" s="2"/>
    </row>
    <row r="290" customFormat="false" ht="15" hidden="false" customHeight="false" outlineLevel="0" collapsed="false">
      <c r="A290" s="2"/>
      <c r="B290" s="2"/>
      <c r="C290" s="2"/>
      <c r="D290" s="2" t="str">
        <f aca="false">IF(C290="","",IFERROR(INDEX('动作库 Exercises'!$B:$B,MATCH(C290,'动作库 Exercises'!$A:$A,0)),"未找到ID"))</f>
        <v/>
      </c>
      <c r="E290" s="2"/>
      <c r="F290" s="2"/>
      <c r="G290" s="2"/>
      <c r="H290" s="2"/>
      <c r="I290" s="2"/>
    </row>
    <row r="291" customFormat="false" ht="15" hidden="false" customHeight="false" outlineLevel="0" collapsed="false">
      <c r="A291" s="2"/>
      <c r="B291" s="2"/>
      <c r="C291" s="2"/>
      <c r="D291" s="2" t="str">
        <f aca="false">IF(C291="","",IFERROR(INDEX('动作库 Exercises'!$B:$B,MATCH(C291,'动作库 Exercises'!$A:$A,0)),"未找到ID"))</f>
        <v/>
      </c>
      <c r="E291" s="2"/>
      <c r="F291" s="2"/>
      <c r="G291" s="2"/>
      <c r="H291" s="2"/>
      <c r="I291" s="2"/>
    </row>
    <row r="292" customFormat="false" ht="15" hidden="false" customHeight="false" outlineLevel="0" collapsed="false">
      <c r="A292" s="2"/>
      <c r="B292" s="2"/>
      <c r="C292" s="2"/>
      <c r="D292" s="2" t="str">
        <f aca="false">IF(C292="","",IFERROR(INDEX('动作库 Exercises'!$B:$B,MATCH(C292,'动作库 Exercises'!$A:$A,0)),"未找到ID"))</f>
        <v/>
      </c>
      <c r="E292" s="2"/>
      <c r="F292" s="2"/>
      <c r="G292" s="2"/>
      <c r="H292" s="2"/>
      <c r="I292" s="2"/>
    </row>
    <row r="293" customFormat="false" ht="15" hidden="false" customHeight="false" outlineLevel="0" collapsed="false">
      <c r="A293" s="2"/>
      <c r="B293" s="2"/>
      <c r="C293" s="2"/>
      <c r="D293" s="2" t="str">
        <f aca="false">IF(C293="","",IFERROR(INDEX('动作库 Exercises'!$B:$B,MATCH(C293,'动作库 Exercises'!$A:$A,0)),"未找到ID"))</f>
        <v/>
      </c>
      <c r="E293" s="2"/>
      <c r="F293" s="2"/>
      <c r="G293" s="2"/>
      <c r="H293" s="2"/>
      <c r="I293" s="2"/>
    </row>
    <row r="294" customFormat="false" ht="15" hidden="false" customHeight="false" outlineLevel="0" collapsed="false">
      <c r="A294" s="2"/>
      <c r="B294" s="2"/>
      <c r="C294" s="2"/>
      <c r="D294" s="2" t="str">
        <f aca="false">IF(C294="","",IFERROR(INDEX('动作库 Exercises'!$B:$B,MATCH(C294,'动作库 Exercises'!$A:$A,0)),"未找到ID"))</f>
        <v/>
      </c>
      <c r="E294" s="2"/>
      <c r="F294" s="2"/>
      <c r="G294" s="2"/>
      <c r="H294" s="2"/>
      <c r="I294" s="2"/>
    </row>
    <row r="295" customFormat="false" ht="15" hidden="false" customHeight="false" outlineLevel="0" collapsed="false">
      <c r="A295" s="2"/>
      <c r="B295" s="2"/>
      <c r="C295" s="2"/>
      <c r="D295" s="2" t="str">
        <f aca="false">IF(C295="","",IFERROR(INDEX('动作库 Exercises'!$B:$B,MATCH(C295,'动作库 Exercises'!$A:$A,0)),"未找到ID"))</f>
        <v/>
      </c>
      <c r="E295" s="2"/>
      <c r="F295" s="2"/>
      <c r="G295" s="2"/>
      <c r="H295" s="2"/>
      <c r="I295" s="2"/>
    </row>
    <row r="296" customFormat="false" ht="15" hidden="false" customHeight="false" outlineLevel="0" collapsed="false">
      <c r="A296" s="2"/>
      <c r="B296" s="2"/>
      <c r="C296" s="2"/>
      <c r="D296" s="2" t="str">
        <f aca="false">IF(C296="","",IFERROR(INDEX('动作库 Exercises'!$B:$B,MATCH(C296,'动作库 Exercises'!$A:$A,0)),"未找到ID"))</f>
        <v/>
      </c>
      <c r="E296" s="2"/>
      <c r="F296" s="2"/>
      <c r="G296" s="2"/>
      <c r="H296" s="2"/>
      <c r="I296" s="2"/>
    </row>
    <row r="297" customFormat="false" ht="15" hidden="false" customHeight="false" outlineLevel="0" collapsed="false">
      <c r="A297" s="2"/>
      <c r="B297" s="2"/>
      <c r="C297" s="2"/>
      <c r="D297" s="2" t="str">
        <f aca="false">IF(C297="","",IFERROR(INDEX('动作库 Exercises'!$B:$B,MATCH(C297,'动作库 Exercises'!$A:$A,0)),"未找到ID"))</f>
        <v/>
      </c>
      <c r="E297" s="2"/>
      <c r="F297" s="2"/>
      <c r="G297" s="2"/>
      <c r="H297" s="2"/>
      <c r="I297" s="2"/>
    </row>
    <row r="298" customFormat="false" ht="15" hidden="false" customHeight="false" outlineLevel="0" collapsed="false">
      <c r="A298" s="2"/>
      <c r="B298" s="2"/>
      <c r="C298" s="2"/>
      <c r="D298" s="2" t="str">
        <f aca="false">IF(C298="","",IFERROR(INDEX('动作库 Exercises'!$B:$B,MATCH(C298,'动作库 Exercises'!$A:$A,0)),"未找到ID"))</f>
        <v/>
      </c>
      <c r="E298" s="2"/>
      <c r="F298" s="2"/>
      <c r="G298" s="2"/>
      <c r="H298" s="2"/>
      <c r="I298" s="2"/>
    </row>
    <row r="299" customFormat="false" ht="15" hidden="false" customHeight="false" outlineLevel="0" collapsed="false">
      <c r="A299" s="2"/>
      <c r="B299" s="2"/>
      <c r="C299" s="2"/>
      <c r="D299" s="2" t="str">
        <f aca="false">IF(C299="","",IFERROR(INDEX('动作库 Exercises'!$B:$B,MATCH(C299,'动作库 Exercises'!$A:$A,0)),"未找到ID"))</f>
        <v/>
      </c>
      <c r="E299" s="2"/>
      <c r="F299" s="2"/>
      <c r="G299" s="2"/>
      <c r="H299" s="2"/>
      <c r="I299" s="2"/>
    </row>
    <row r="300" customFormat="false" ht="15" hidden="false" customHeight="false" outlineLevel="0" collapsed="false">
      <c r="A300" s="2"/>
      <c r="B300" s="2"/>
      <c r="C300" s="2"/>
      <c r="D300" s="2" t="str">
        <f aca="false">IF(C300="","",IFERROR(INDEX('动作库 Exercises'!$B:$B,MATCH(C300,'动作库 Exercises'!$A:$A,0)),"未找到ID"))</f>
        <v/>
      </c>
      <c r="E300" s="2"/>
      <c r="F300" s="2"/>
      <c r="G300" s="2"/>
      <c r="H300" s="2"/>
      <c r="I300" s="2"/>
    </row>
    <row r="301" customFormat="false" ht="15" hidden="false" customHeight="false" outlineLevel="0" collapsed="false">
      <c r="A301" s="2"/>
      <c r="B301" s="2"/>
      <c r="C301" s="2"/>
      <c r="D301" s="2" t="str">
        <f aca="false">IF(C301="","",IFERROR(INDEX('动作库 Exercises'!$B:$B,MATCH(C301,'动作库 Exercises'!$A:$A,0)),"未找到ID"))</f>
        <v/>
      </c>
      <c r="E301" s="2"/>
      <c r="F301" s="2"/>
      <c r="G301" s="2"/>
      <c r="H301" s="2"/>
      <c r="I301" s="2"/>
    </row>
    <row r="302" customFormat="false" ht="15" hidden="false" customHeight="false" outlineLevel="0" collapsed="false">
      <c r="A302" s="2"/>
      <c r="B302" s="2"/>
      <c r="C302" s="2"/>
      <c r="D302" s="2" t="str">
        <f aca="false">IF(C302="","",IFERROR(INDEX('动作库 Exercises'!$B:$B,MATCH(C302,'动作库 Exercises'!$A:$A,0)),"未找到ID"))</f>
        <v/>
      </c>
      <c r="E302" s="2"/>
      <c r="F302" s="2"/>
      <c r="G302" s="2"/>
      <c r="H302" s="2"/>
      <c r="I302" s="2"/>
    </row>
    <row r="303" customFormat="false" ht="15" hidden="false" customHeight="false" outlineLevel="0" collapsed="false">
      <c r="A303" s="2"/>
      <c r="B303" s="2"/>
      <c r="C303" s="2"/>
      <c r="D303" s="2" t="str">
        <f aca="false">IF(C303="","",IFERROR(INDEX('动作库 Exercises'!$B:$B,MATCH(C303,'动作库 Exercises'!$A:$A,0)),"未找到ID"))</f>
        <v/>
      </c>
      <c r="E303" s="2"/>
      <c r="F303" s="2"/>
      <c r="G303" s="2"/>
      <c r="H303" s="2"/>
      <c r="I303" s="2"/>
    </row>
    <row r="304" customFormat="false" ht="15" hidden="false" customHeight="false" outlineLevel="0" collapsed="false">
      <c r="A304" s="2"/>
      <c r="B304" s="2"/>
      <c r="C304" s="2"/>
      <c r="D304" s="2" t="str">
        <f aca="false">IF(C304="","",IFERROR(INDEX('动作库 Exercises'!$B:$B,MATCH(C304,'动作库 Exercises'!$A:$A,0)),"未找到ID"))</f>
        <v/>
      </c>
      <c r="E304" s="2"/>
      <c r="F304" s="2"/>
      <c r="G304" s="2"/>
      <c r="H304" s="2"/>
      <c r="I304" s="2"/>
    </row>
    <row r="305" customFormat="false" ht="15" hidden="false" customHeight="false" outlineLevel="0" collapsed="false">
      <c r="A305" s="2"/>
      <c r="B305" s="2"/>
      <c r="C305" s="2"/>
      <c r="D305" s="2" t="str">
        <f aca="false">IF(C305="","",IFERROR(INDEX('动作库 Exercises'!$B:$B,MATCH(C305,'动作库 Exercises'!$A:$A,0)),"未找到ID"))</f>
        <v/>
      </c>
      <c r="E305" s="2"/>
      <c r="F305" s="2"/>
      <c r="G305" s="2"/>
      <c r="H305" s="2"/>
      <c r="I305" s="2"/>
    </row>
    <row r="306" customFormat="false" ht="15" hidden="false" customHeight="false" outlineLevel="0" collapsed="false">
      <c r="A306" s="2"/>
      <c r="B306" s="2"/>
      <c r="C306" s="2"/>
      <c r="D306" s="2" t="str">
        <f aca="false">IF(C306="","",IFERROR(INDEX('动作库 Exercises'!$B:$B,MATCH(C306,'动作库 Exercises'!$A:$A,0)),"未找到ID"))</f>
        <v/>
      </c>
      <c r="E306" s="2"/>
      <c r="F306" s="2"/>
      <c r="G306" s="2"/>
      <c r="H306" s="2"/>
      <c r="I306" s="2"/>
    </row>
    <row r="307" customFormat="false" ht="15" hidden="false" customHeight="false" outlineLevel="0" collapsed="false">
      <c r="A307" s="2"/>
      <c r="B307" s="2"/>
      <c r="C307" s="2"/>
      <c r="D307" s="2" t="str">
        <f aca="false">IF(C307="","",IFERROR(INDEX('动作库 Exercises'!$B:$B,MATCH(C307,'动作库 Exercises'!$A:$A,0)),"未找到ID"))</f>
        <v/>
      </c>
      <c r="E307" s="2"/>
      <c r="F307" s="2"/>
      <c r="G307" s="2"/>
      <c r="H307" s="2"/>
      <c r="I307" s="2"/>
    </row>
    <row r="308" customFormat="false" ht="15" hidden="false" customHeight="false" outlineLevel="0" collapsed="false">
      <c r="A308" s="2"/>
      <c r="B308" s="2"/>
      <c r="C308" s="2"/>
      <c r="D308" s="2" t="str">
        <f aca="false">IF(C308="","",IFERROR(INDEX('动作库 Exercises'!$B:$B,MATCH(C308,'动作库 Exercises'!$A:$A,0)),"未找到ID"))</f>
        <v/>
      </c>
      <c r="E308" s="2"/>
      <c r="F308" s="2"/>
      <c r="G308" s="2"/>
      <c r="H308" s="2"/>
      <c r="I308" s="2"/>
    </row>
    <row r="309" customFormat="false" ht="15" hidden="false" customHeight="false" outlineLevel="0" collapsed="false">
      <c r="A309" s="2"/>
      <c r="B309" s="2"/>
      <c r="C309" s="2"/>
      <c r="D309" s="2" t="str">
        <f aca="false">IF(C309="","",IFERROR(INDEX('动作库 Exercises'!$B:$B,MATCH(C309,'动作库 Exercises'!$A:$A,0)),"未找到ID"))</f>
        <v/>
      </c>
      <c r="E309" s="2"/>
      <c r="F309" s="2"/>
      <c r="G309" s="2"/>
      <c r="H309" s="2"/>
      <c r="I309" s="2"/>
    </row>
    <row r="310" customFormat="false" ht="15" hidden="false" customHeight="false" outlineLevel="0" collapsed="false">
      <c r="A310" s="2"/>
      <c r="B310" s="2"/>
      <c r="C310" s="2"/>
      <c r="D310" s="2" t="str">
        <f aca="false">IF(C310="","",IFERROR(INDEX('动作库 Exercises'!$B:$B,MATCH(C310,'动作库 Exercises'!$A:$A,0)),"未找到ID"))</f>
        <v/>
      </c>
      <c r="E310" s="2"/>
      <c r="F310" s="2"/>
      <c r="G310" s="2"/>
      <c r="H310" s="2"/>
      <c r="I310" s="2"/>
    </row>
    <row r="311" customFormat="false" ht="15" hidden="false" customHeight="false" outlineLevel="0" collapsed="false">
      <c r="A311" s="2"/>
      <c r="B311" s="2"/>
      <c r="C311" s="2"/>
      <c r="D311" s="2" t="str">
        <f aca="false">IF(C311="","",IFERROR(INDEX('动作库 Exercises'!$B:$B,MATCH(C311,'动作库 Exercises'!$A:$A,0)),"未找到ID"))</f>
        <v/>
      </c>
      <c r="E311" s="2"/>
      <c r="F311" s="2"/>
      <c r="G311" s="2"/>
      <c r="H311" s="2"/>
      <c r="I311" s="2"/>
    </row>
    <row r="312" customFormat="false" ht="15" hidden="false" customHeight="false" outlineLevel="0" collapsed="false">
      <c r="A312" s="2"/>
      <c r="B312" s="2"/>
      <c r="C312" s="2"/>
      <c r="D312" s="2" t="str">
        <f aca="false">IF(C312="","",IFERROR(INDEX('动作库 Exercises'!$B:$B,MATCH(C312,'动作库 Exercises'!$A:$A,0)),"未找到ID"))</f>
        <v/>
      </c>
      <c r="E312" s="2"/>
      <c r="F312" s="2"/>
      <c r="G312" s="2"/>
      <c r="H312" s="2"/>
      <c r="I312" s="2"/>
    </row>
    <row r="313" customFormat="false" ht="15" hidden="false" customHeight="false" outlineLevel="0" collapsed="false">
      <c r="A313" s="2"/>
      <c r="B313" s="2"/>
      <c r="C313" s="2"/>
      <c r="D313" s="2" t="str">
        <f aca="false">IF(C313="","",IFERROR(INDEX('动作库 Exercises'!$B:$B,MATCH(C313,'动作库 Exercises'!$A:$A,0)),"未找到ID"))</f>
        <v/>
      </c>
      <c r="E313" s="2"/>
      <c r="F313" s="2"/>
      <c r="G313" s="2"/>
      <c r="H313" s="2"/>
      <c r="I313" s="2"/>
    </row>
    <row r="314" customFormat="false" ht="15" hidden="false" customHeight="false" outlineLevel="0" collapsed="false">
      <c r="A314" s="2"/>
      <c r="B314" s="2"/>
      <c r="C314" s="2"/>
      <c r="D314" s="2" t="str">
        <f aca="false">IF(C314="","",IFERROR(INDEX('动作库 Exercises'!$B:$B,MATCH(C314,'动作库 Exercises'!$A:$A,0)),"未找到ID"))</f>
        <v/>
      </c>
      <c r="E314" s="2"/>
      <c r="F314" s="2"/>
      <c r="G314" s="2"/>
      <c r="H314" s="2"/>
      <c r="I314" s="2"/>
    </row>
    <row r="315" customFormat="false" ht="15" hidden="false" customHeight="false" outlineLevel="0" collapsed="false">
      <c r="A315" s="2"/>
      <c r="B315" s="2"/>
      <c r="C315" s="2"/>
      <c r="D315" s="2" t="str">
        <f aca="false">IF(C315="","",IFERROR(INDEX('动作库 Exercises'!$B:$B,MATCH(C315,'动作库 Exercises'!$A:$A,0)),"未找到ID"))</f>
        <v/>
      </c>
      <c r="E315" s="2"/>
      <c r="F315" s="2"/>
      <c r="G315" s="2"/>
      <c r="H315" s="2"/>
      <c r="I315" s="2"/>
    </row>
    <row r="316" customFormat="false" ht="15" hidden="false" customHeight="false" outlineLevel="0" collapsed="false">
      <c r="A316" s="2"/>
      <c r="B316" s="2"/>
      <c r="C316" s="2"/>
      <c r="D316" s="2" t="str">
        <f aca="false">IF(C316="","",IFERROR(INDEX('动作库 Exercises'!$B:$B,MATCH(C316,'动作库 Exercises'!$A:$A,0)),"未找到ID"))</f>
        <v/>
      </c>
      <c r="E316" s="2"/>
      <c r="F316" s="2"/>
      <c r="G316" s="2"/>
      <c r="H316" s="2"/>
      <c r="I316" s="2"/>
    </row>
    <row r="317" customFormat="false" ht="15" hidden="false" customHeight="false" outlineLevel="0" collapsed="false">
      <c r="A317" s="2"/>
      <c r="B317" s="2"/>
      <c r="C317" s="2"/>
      <c r="D317" s="2" t="str">
        <f aca="false">IF(C317="","",IFERROR(INDEX('动作库 Exercises'!$B:$B,MATCH(C317,'动作库 Exercises'!$A:$A,0)),"未找到ID"))</f>
        <v/>
      </c>
      <c r="E317" s="2"/>
      <c r="F317" s="2"/>
      <c r="G317" s="2"/>
      <c r="H317" s="2"/>
      <c r="I317" s="2"/>
    </row>
    <row r="318" customFormat="false" ht="15" hidden="false" customHeight="false" outlineLevel="0" collapsed="false">
      <c r="A318" s="2"/>
      <c r="B318" s="2"/>
      <c r="C318" s="2"/>
      <c r="D318" s="2" t="str">
        <f aca="false">IF(C318="","",IFERROR(INDEX('动作库 Exercises'!$B:$B,MATCH(C318,'动作库 Exercises'!$A:$A,0)),"未找到ID"))</f>
        <v/>
      </c>
      <c r="E318" s="2"/>
      <c r="F318" s="2"/>
      <c r="G318" s="2"/>
      <c r="H318" s="2"/>
      <c r="I318" s="2"/>
    </row>
    <row r="319" customFormat="false" ht="15" hidden="false" customHeight="false" outlineLevel="0" collapsed="false">
      <c r="A319" s="2"/>
      <c r="B319" s="2"/>
      <c r="C319" s="2"/>
      <c r="D319" s="2" t="str">
        <f aca="false">IF(C319="","",IFERROR(INDEX('动作库 Exercises'!$B:$B,MATCH(C319,'动作库 Exercises'!$A:$A,0)),"未找到ID"))</f>
        <v/>
      </c>
      <c r="E319" s="2"/>
      <c r="F319" s="2"/>
      <c r="G319" s="2"/>
      <c r="H319" s="2"/>
      <c r="I319" s="2"/>
    </row>
    <row r="320" customFormat="false" ht="15" hidden="false" customHeight="false" outlineLevel="0" collapsed="false">
      <c r="A320" s="2"/>
      <c r="B320" s="2"/>
      <c r="C320" s="2"/>
      <c r="D320" s="2" t="str">
        <f aca="false">IF(C320="","",IFERROR(INDEX('动作库 Exercises'!$B:$B,MATCH(C320,'动作库 Exercises'!$A:$A,0)),"未找到ID"))</f>
        <v/>
      </c>
      <c r="E320" s="2"/>
      <c r="F320" s="2"/>
      <c r="G320" s="2"/>
      <c r="H320" s="2"/>
      <c r="I320" s="2"/>
    </row>
    <row r="321" customFormat="false" ht="15" hidden="false" customHeight="false" outlineLevel="0" collapsed="false">
      <c r="A321" s="2"/>
      <c r="B321" s="2"/>
      <c r="C321" s="2"/>
      <c r="D321" s="2" t="str">
        <f aca="false">IF(C321="","",IFERROR(INDEX('动作库 Exercises'!$B:$B,MATCH(C321,'动作库 Exercises'!$A:$A,0)),"未找到ID"))</f>
        <v/>
      </c>
      <c r="E321" s="2"/>
      <c r="F321" s="2"/>
      <c r="G321" s="2"/>
      <c r="H321" s="2"/>
      <c r="I321" s="2"/>
    </row>
    <row r="322" customFormat="false" ht="15" hidden="false" customHeight="false" outlineLevel="0" collapsed="false">
      <c r="A322" s="2"/>
      <c r="B322" s="2"/>
      <c r="C322" s="2"/>
      <c r="D322" s="2" t="str">
        <f aca="false">IF(C322="","",IFERROR(INDEX('动作库 Exercises'!$B:$B,MATCH(C322,'动作库 Exercises'!$A:$A,0)),"未找到ID"))</f>
        <v/>
      </c>
      <c r="E322" s="2"/>
      <c r="F322" s="2"/>
      <c r="G322" s="2"/>
      <c r="H322" s="2"/>
      <c r="I322" s="2"/>
    </row>
    <row r="323" customFormat="false" ht="15" hidden="false" customHeight="false" outlineLevel="0" collapsed="false">
      <c r="A323" s="2"/>
      <c r="B323" s="2"/>
      <c r="C323" s="2"/>
      <c r="D323" s="2" t="str">
        <f aca="false">IF(C323="","",IFERROR(INDEX('动作库 Exercises'!$B:$B,MATCH(C323,'动作库 Exercises'!$A:$A,0)),"未找到ID"))</f>
        <v/>
      </c>
      <c r="E323" s="2"/>
      <c r="F323" s="2"/>
      <c r="G323" s="2"/>
      <c r="H323" s="2"/>
      <c r="I323" s="2"/>
    </row>
    <row r="324" customFormat="false" ht="15" hidden="false" customHeight="false" outlineLevel="0" collapsed="false">
      <c r="A324" s="2"/>
      <c r="B324" s="2"/>
      <c r="C324" s="2"/>
      <c r="D324" s="2" t="str">
        <f aca="false">IF(C324="","",IFERROR(INDEX('动作库 Exercises'!$B:$B,MATCH(C324,'动作库 Exercises'!$A:$A,0)),"未找到ID"))</f>
        <v/>
      </c>
      <c r="E324" s="2"/>
      <c r="F324" s="2"/>
      <c r="G324" s="2"/>
      <c r="H324" s="2"/>
      <c r="I324" s="2"/>
    </row>
    <row r="325" customFormat="false" ht="15" hidden="false" customHeight="false" outlineLevel="0" collapsed="false">
      <c r="A325" s="2"/>
      <c r="B325" s="2"/>
      <c r="C325" s="2"/>
      <c r="D325" s="2" t="str">
        <f aca="false">IF(C325="","",IFERROR(INDEX('动作库 Exercises'!$B:$B,MATCH(C325,'动作库 Exercises'!$A:$A,0)),"未找到ID"))</f>
        <v/>
      </c>
      <c r="E325" s="2"/>
      <c r="F325" s="2"/>
      <c r="G325" s="2"/>
      <c r="H325" s="2"/>
      <c r="I325" s="2"/>
    </row>
    <row r="326" customFormat="false" ht="15" hidden="false" customHeight="false" outlineLevel="0" collapsed="false">
      <c r="A326" s="2"/>
      <c r="B326" s="2"/>
      <c r="C326" s="2"/>
      <c r="D326" s="2" t="str">
        <f aca="false">IF(C326="","",IFERROR(INDEX('动作库 Exercises'!$B:$B,MATCH(C326,'动作库 Exercises'!$A:$A,0)),"未找到ID"))</f>
        <v/>
      </c>
      <c r="E326" s="2"/>
      <c r="F326" s="2"/>
      <c r="G326" s="2"/>
      <c r="H326" s="2"/>
      <c r="I326" s="2"/>
    </row>
    <row r="327" customFormat="false" ht="15" hidden="false" customHeight="false" outlineLevel="0" collapsed="false">
      <c r="A327" s="2"/>
      <c r="B327" s="2"/>
      <c r="C327" s="2"/>
      <c r="D327" s="2" t="str">
        <f aca="false">IF(C327="","",IFERROR(INDEX('动作库 Exercises'!$B:$B,MATCH(C327,'动作库 Exercises'!$A:$A,0)),"未找到ID"))</f>
        <v/>
      </c>
      <c r="E327" s="2"/>
      <c r="F327" s="2"/>
      <c r="G327" s="2"/>
      <c r="H327" s="2"/>
      <c r="I327" s="2"/>
    </row>
    <row r="328" customFormat="false" ht="15" hidden="false" customHeight="false" outlineLevel="0" collapsed="false">
      <c r="A328" s="2"/>
      <c r="B328" s="2"/>
      <c r="C328" s="2"/>
      <c r="D328" s="2" t="str">
        <f aca="false">IF(C328="","",IFERROR(INDEX('动作库 Exercises'!$B:$B,MATCH(C328,'动作库 Exercises'!$A:$A,0)),"未找到ID"))</f>
        <v/>
      </c>
      <c r="E328" s="2"/>
      <c r="F328" s="2"/>
      <c r="G328" s="2"/>
      <c r="H328" s="2"/>
      <c r="I328" s="2"/>
    </row>
    <row r="329" customFormat="false" ht="15" hidden="false" customHeight="false" outlineLevel="0" collapsed="false">
      <c r="A329" s="2"/>
      <c r="B329" s="2"/>
      <c r="C329" s="2"/>
      <c r="D329" s="2" t="str">
        <f aca="false">IF(C329="","",IFERROR(INDEX('动作库 Exercises'!$B:$B,MATCH(C329,'动作库 Exercises'!$A:$A,0)),"未找到ID"))</f>
        <v/>
      </c>
      <c r="E329" s="2"/>
      <c r="F329" s="2"/>
      <c r="G329" s="2"/>
      <c r="H329" s="2"/>
      <c r="I329" s="2"/>
    </row>
    <row r="330" customFormat="false" ht="15" hidden="false" customHeight="false" outlineLevel="0" collapsed="false">
      <c r="A330" s="2"/>
      <c r="B330" s="2"/>
      <c r="C330" s="2"/>
      <c r="D330" s="2" t="str">
        <f aca="false">IF(C330="","",IFERROR(INDEX('动作库 Exercises'!$B:$B,MATCH(C330,'动作库 Exercises'!$A:$A,0)),"未找到ID"))</f>
        <v/>
      </c>
      <c r="E330" s="2"/>
      <c r="F330" s="2"/>
      <c r="G330" s="2"/>
      <c r="H330" s="2"/>
      <c r="I330" s="2"/>
    </row>
    <row r="331" customFormat="false" ht="15" hidden="false" customHeight="false" outlineLevel="0" collapsed="false">
      <c r="A331" s="2"/>
      <c r="B331" s="2"/>
      <c r="C331" s="2"/>
      <c r="D331" s="2" t="str">
        <f aca="false">IF(C331="","",IFERROR(INDEX('动作库 Exercises'!$B:$B,MATCH(C331,'动作库 Exercises'!$A:$A,0)),"未找到ID"))</f>
        <v/>
      </c>
      <c r="E331" s="2"/>
      <c r="F331" s="2"/>
      <c r="G331" s="2"/>
      <c r="H331" s="2"/>
      <c r="I331" s="2"/>
    </row>
    <row r="332" customFormat="false" ht="15" hidden="false" customHeight="false" outlineLevel="0" collapsed="false">
      <c r="A332" s="2"/>
      <c r="B332" s="2"/>
      <c r="C332" s="2"/>
      <c r="D332" s="2" t="str">
        <f aca="false">IF(C332="","",IFERROR(INDEX('动作库 Exercises'!$B:$B,MATCH(C332,'动作库 Exercises'!$A:$A,0)),"未找到ID"))</f>
        <v/>
      </c>
      <c r="E332" s="2"/>
      <c r="F332" s="2"/>
      <c r="G332" s="2"/>
      <c r="H332" s="2"/>
      <c r="I332" s="2"/>
    </row>
    <row r="333" customFormat="false" ht="15" hidden="false" customHeight="false" outlineLevel="0" collapsed="false">
      <c r="A333" s="2"/>
      <c r="B333" s="2"/>
      <c r="C333" s="2"/>
      <c r="D333" s="2" t="str">
        <f aca="false">IF(C333="","",IFERROR(INDEX('动作库 Exercises'!$B:$B,MATCH(C333,'动作库 Exercises'!$A:$A,0)),"未找到ID"))</f>
        <v/>
      </c>
      <c r="E333" s="2"/>
      <c r="F333" s="2"/>
      <c r="G333" s="2"/>
      <c r="H333" s="2"/>
      <c r="I333" s="2"/>
    </row>
    <row r="334" customFormat="false" ht="15" hidden="false" customHeight="false" outlineLevel="0" collapsed="false">
      <c r="A334" s="2"/>
      <c r="B334" s="2"/>
      <c r="C334" s="2"/>
      <c r="D334" s="2" t="str">
        <f aca="false">IF(C334="","",IFERROR(INDEX('动作库 Exercises'!$B:$B,MATCH(C334,'动作库 Exercises'!$A:$A,0)),"未找到ID"))</f>
        <v/>
      </c>
      <c r="E334" s="2"/>
      <c r="F334" s="2"/>
      <c r="G334" s="2"/>
      <c r="H334" s="2"/>
      <c r="I334" s="2"/>
    </row>
    <row r="335" customFormat="false" ht="15" hidden="false" customHeight="false" outlineLevel="0" collapsed="false">
      <c r="A335" s="2"/>
      <c r="B335" s="2"/>
      <c r="C335" s="2"/>
      <c r="D335" s="2" t="str">
        <f aca="false">IF(C335="","",IFERROR(INDEX('动作库 Exercises'!$B:$B,MATCH(C335,'动作库 Exercises'!$A:$A,0)),"未找到ID"))</f>
        <v/>
      </c>
      <c r="E335" s="2"/>
      <c r="F335" s="2"/>
      <c r="G335" s="2"/>
      <c r="H335" s="2"/>
      <c r="I335" s="2"/>
    </row>
    <row r="336" customFormat="false" ht="15" hidden="false" customHeight="false" outlineLevel="0" collapsed="false">
      <c r="A336" s="2"/>
      <c r="B336" s="2"/>
      <c r="C336" s="2"/>
      <c r="D336" s="2" t="str">
        <f aca="false">IF(C336="","",IFERROR(INDEX('动作库 Exercises'!$B:$B,MATCH(C336,'动作库 Exercises'!$A:$A,0)),"未找到ID"))</f>
        <v/>
      </c>
      <c r="E336" s="2"/>
      <c r="F336" s="2"/>
      <c r="G336" s="2"/>
      <c r="H336" s="2"/>
      <c r="I336" s="2"/>
    </row>
    <row r="337" customFormat="false" ht="15" hidden="false" customHeight="false" outlineLevel="0" collapsed="false">
      <c r="A337" s="2"/>
      <c r="B337" s="2"/>
      <c r="C337" s="2"/>
      <c r="D337" s="2" t="str">
        <f aca="false">IF(C337="","",IFERROR(INDEX('动作库 Exercises'!$B:$B,MATCH(C337,'动作库 Exercises'!$A:$A,0)),"未找到ID"))</f>
        <v/>
      </c>
      <c r="E337" s="2"/>
      <c r="F337" s="2"/>
      <c r="G337" s="2"/>
      <c r="H337" s="2"/>
      <c r="I337" s="2"/>
    </row>
    <row r="338" customFormat="false" ht="15" hidden="false" customHeight="false" outlineLevel="0" collapsed="false">
      <c r="A338" s="2"/>
      <c r="B338" s="2"/>
      <c r="C338" s="2"/>
      <c r="D338" s="2" t="str">
        <f aca="false">IF(C338="","",IFERROR(INDEX('动作库 Exercises'!$B:$B,MATCH(C338,'动作库 Exercises'!$A:$A,0)),"未找到ID"))</f>
        <v/>
      </c>
      <c r="E338" s="2"/>
      <c r="F338" s="2"/>
      <c r="G338" s="2"/>
      <c r="H338" s="2"/>
      <c r="I338" s="2"/>
    </row>
    <row r="339" customFormat="false" ht="15" hidden="false" customHeight="false" outlineLevel="0" collapsed="false">
      <c r="A339" s="2"/>
      <c r="B339" s="2"/>
      <c r="C339" s="2"/>
      <c r="D339" s="2" t="str">
        <f aca="false">IF(C339="","",IFERROR(INDEX('动作库 Exercises'!$B:$B,MATCH(C339,'动作库 Exercises'!$A:$A,0)),"未找到ID"))</f>
        <v/>
      </c>
      <c r="E339" s="2"/>
      <c r="F339" s="2"/>
      <c r="G339" s="2"/>
      <c r="H339" s="2"/>
      <c r="I339" s="2"/>
    </row>
    <row r="340" customFormat="false" ht="15" hidden="false" customHeight="false" outlineLevel="0" collapsed="false">
      <c r="A340" s="2"/>
      <c r="B340" s="2"/>
      <c r="C340" s="2"/>
      <c r="D340" s="2" t="str">
        <f aca="false">IF(C340="","",IFERROR(INDEX('动作库 Exercises'!$B:$B,MATCH(C340,'动作库 Exercises'!$A:$A,0)),"未找到ID"))</f>
        <v/>
      </c>
      <c r="E340" s="2"/>
      <c r="F340" s="2"/>
      <c r="G340" s="2"/>
      <c r="H340" s="2"/>
      <c r="I340" s="2"/>
    </row>
    <row r="341" customFormat="false" ht="15" hidden="false" customHeight="false" outlineLevel="0" collapsed="false">
      <c r="A341" s="2"/>
      <c r="B341" s="2"/>
      <c r="C341" s="2"/>
      <c r="D341" s="2" t="str">
        <f aca="false">IF(C341="","",IFERROR(INDEX('动作库 Exercises'!$B:$B,MATCH(C341,'动作库 Exercises'!$A:$A,0)),"未找到ID"))</f>
        <v/>
      </c>
      <c r="E341" s="2"/>
      <c r="F341" s="2"/>
      <c r="G341" s="2"/>
      <c r="H341" s="2"/>
      <c r="I341" s="2"/>
    </row>
    <row r="342" customFormat="false" ht="15" hidden="false" customHeight="false" outlineLevel="0" collapsed="false">
      <c r="A342" s="2"/>
      <c r="B342" s="2"/>
      <c r="C342" s="2"/>
      <c r="D342" s="2" t="str">
        <f aca="false">IF(C342="","",IFERROR(INDEX('动作库 Exercises'!$B:$B,MATCH(C342,'动作库 Exercises'!$A:$A,0)),"未找到ID"))</f>
        <v/>
      </c>
      <c r="E342" s="2"/>
      <c r="F342" s="2"/>
      <c r="G342" s="2"/>
      <c r="H342" s="2"/>
      <c r="I342" s="2"/>
    </row>
    <row r="343" customFormat="false" ht="15" hidden="false" customHeight="false" outlineLevel="0" collapsed="false">
      <c r="A343" s="2"/>
      <c r="B343" s="2"/>
      <c r="C343" s="2"/>
      <c r="D343" s="2" t="str">
        <f aca="false">IF(C343="","",IFERROR(INDEX('动作库 Exercises'!$B:$B,MATCH(C343,'动作库 Exercises'!$A:$A,0)),"未找到ID"))</f>
        <v/>
      </c>
      <c r="E343" s="2"/>
      <c r="F343" s="2"/>
      <c r="G343" s="2"/>
      <c r="H343" s="2"/>
      <c r="I343" s="2"/>
    </row>
    <row r="344" customFormat="false" ht="15" hidden="false" customHeight="false" outlineLevel="0" collapsed="false">
      <c r="A344" s="2"/>
      <c r="B344" s="2"/>
      <c r="C344" s="2"/>
      <c r="D344" s="2" t="str">
        <f aca="false">IF(C344="","",IFERROR(INDEX('动作库 Exercises'!$B:$B,MATCH(C344,'动作库 Exercises'!$A:$A,0)),"未找到ID"))</f>
        <v/>
      </c>
      <c r="E344" s="2"/>
      <c r="F344" s="2"/>
      <c r="G344" s="2"/>
      <c r="H344" s="2"/>
      <c r="I344" s="2"/>
    </row>
    <row r="345" customFormat="false" ht="15" hidden="false" customHeight="false" outlineLevel="0" collapsed="false">
      <c r="A345" s="2"/>
      <c r="B345" s="2"/>
      <c r="C345" s="2"/>
      <c r="D345" s="2" t="str">
        <f aca="false">IF(C345="","",IFERROR(INDEX('动作库 Exercises'!$B:$B,MATCH(C345,'动作库 Exercises'!$A:$A,0)),"未找到ID"))</f>
        <v/>
      </c>
      <c r="E345" s="2"/>
      <c r="F345" s="2"/>
      <c r="G345" s="2"/>
      <c r="H345" s="2"/>
      <c r="I345" s="2"/>
    </row>
    <row r="346" customFormat="false" ht="15" hidden="false" customHeight="false" outlineLevel="0" collapsed="false">
      <c r="A346" s="2"/>
      <c r="B346" s="2"/>
      <c r="C346" s="2"/>
      <c r="D346" s="2" t="str">
        <f aca="false">IF(C346="","",IFERROR(INDEX('动作库 Exercises'!$B:$B,MATCH(C346,'动作库 Exercises'!$A:$A,0)),"未找到ID"))</f>
        <v/>
      </c>
      <c r="E346" s="2"/>
      <c r="F346" s="2"/>
      <c r="G346" s="2"/>
      <c r="H346" s="2"/>
      <c r="I346" s="2"/>
    </row>
    <row r="347" customFormat="false" ht="15" hidden="false" customHeight="false" outlineLevel="0" collapsed="false">
      <c r="A347" s="2"/>
      <c r="B347" s="2"/>
      <c r="C347" s="2"/>
      <c r="D347" s="2" t="str">
        <f aca="false">IF(C347="","",IFERROR(INDEX('动作库 Exercises'!$B:$B,MATCH(C347,'动作库 Exercises'!$A:$A,0)),"未找到ID"))</f>
        <v/>
      </c>
      <c r="E347" s="2"/>
      <c r="F347" s="2"/>
      <c r="G347" s="2"/>
      <c r="H347" s="2"/>
      <c r="I347" s="2"/>
    </row>
    <row r="348" customFormat="false" ht="15" hidden="false" customHeight="false" outlineLevel="0" collapsed="false">
      <c r="A348" s="2"/>
      <c r="B348" s="2"/>
      <c r="C348" s="2"/>
      <c r="D348" s="2" t="str">
        <f aca="false">IF(C348="","",IFERROR(INDEX('动作库 Exercises'!$B:$B,MATCH(C348,'动作库 Exercises'!$A:$A,0)),"未找到ID"))</f>
        <v/>
      </c>
      <c r="E348" s="2"/>
      <c r="F348" s="2"/>
      <c r="G348" s="2"/>
      <c r="H348" s="2"/>
      <c r="I348" s="2"/>
    </row>
    <row r="349" customFormat="false" ht="15" hidden="false" customHeight="false" outlineLevel="0" collapsed="false">
      <c r="A349" s="2"/>
      <c r="B349" s="2"/>
      <c r="C349" s="2"/>
      <c r="D349" s="2" t="str">
        <f aca="false">IF(C349="","",IFERROR(INDEX('动作库 Exercises'!$B:$B,MATCH(C349,'动作库 Exercises'!$A:$A,0)),"未找到ID"))</f>
        <v/>
      </c>
      <c r="E349" s="2"/>
      <c r="F349" s="2"/>
      <c r="G349" s="2"/>
      <c r="H349" s="2"/>
      <c r="I349" s="2"/>
    </row>
    <row r="350" customFormat="false" ht="15" hidden="false" customHeight="false" outlineLevel="0" collapsed="false">
      <c r="A350" s="2"/>
      <c r="B350" s="2"/>
      <c r="C350" s="2"/>
      <c r="D350" s="2" t="str">
        <f aca="false">IF(C350="","",IFERROR(INDEX('动作库 Exercises'!$B:$B,MATCH(C350,'动作库 Exercises'!$A:$A,0)),"未找到ID"))</f>
        <v/>
      </c>
      <c r="E350" s="2"/>
      <c r="F350" s="2"/>
      <c r="G350" s="2"/>
      <c r="H350" s="2"/>
      <c r="I350" s="2"/>
    </row>
    <row r="351" customFormat="false" ht="15" hidden="false" customHeight="false" outlineLevel="0" collapsed="false">
      <c r="A351" s="2"/>
      <c r="B351" s="2"/>
      <c r="C351" s="2"/>
      <c r="D351" s="2" t="str">
        <f aca="false">IF(C351="","",IFERROR(INDEX('动作库 Exercises'!$B:$B,MATCH(C351,'动作库 Exercises'!$A:$A,0)),"未找到ID"))</f>
        <v/>
      </c>
      <c r="E351" s="2"/>
      <c r="F351" s="2"/>
      <c r="G351" s="2"/>
      <c r="H351" s="2"/>
      <c r="I351" s="2"/>
    </row>
    <row r="352" customFormat="false" ht="15" hidden="false" customHeight="false" outlineLevel="0" collapsed="false">
      <c r="A352" s="2"/>
      <c r="B352" s="2"/>
      <c r="C352" s="2"/>
      <c r="D352" s="2" t="str">
        <f aca="false">IF(C352="","",IFERROR(INDEX('动作库 Exercises'!$B:$B,MATCH(C352,'动作库 Exercises'!$A:$A,0)),"未找到ID"))</f>
        <v/>
      </c>
      <c r="E352" s="2"/>
      <c r="F352" s="2"/>
      <c r="G352" s="2"/>
      <c r="H352" s="2"/>
      <c r="I352" s="2"/>
    </row>
    <row r="353" customFormat="false" ht="15" hidden="false" customHeight="false" outlineLevel="0" collapsed="false">
      <c r="A353" s="2"/>
      <c r="B353" s="2"/>
      <c r="C353" s="2"/>
      <c r="D353" s="2" t="str">
        <f aca="false">IF(C353="","",IFERROR(INDEX('动作库 Exercises'!$B:$B,MATCH(C353,'动作库 Exercises'!$A:$A,0)),"未找到ID"))</f>
        <v/>
      </c>
      <c r="E353" s="2"/>
      <c r="F353" s="2"/>
      <c r="G353" s="2"/>
      <c r="H353" s="2"/>
      <c r="I353" s="2"/>
    </row>
    <row r="354" customFormat="false" ht="15" hidden="false" customHeight="false" outlineLevel="0" collapsed="false">
      <c r="A354" s="2"/>
      <c r="B354" s="2"/>
      <c r="C354" s="2"/>
      <c r="D354" s="2" t="str">
        <f aca="false">IF(C354="","",IFERROR(INDEX('动作库 Exercises'!$B:$B,MATCH(C354,'动作库 Exercises'!$A:$A,0)),"未找到ID"))</f>
        <v/>
      </c>
      <c r="E354" s="2"/>
      <c r="F354" s="2"/>
      <c r="G354" s="2"/>
      <c r="H354" s="2"/>
      <c r="I354" s="2"/>
    </row>
    <row r="355" customFormat="false" ht="15" hidden="false" customHeight="false" outlineLevel="0" collapsed="false">
      <c r="A355" s="2"/>
      <c r="B355" s="2"/>
      <c r="C355" s="2"/>
      <c r="D355" s="2" t="str">
        <f aca="false">IF(C355="","",IFERROR(INDEX('动作库 Exercises'!$B:$B,MATCH(C355,'动作库 Exercises'!$A:$A,0)),"未找到ID"))</f>
        <v/>
      </c>
      <c r="E355" s="2"/>
      <c r="F355" s="2"/>
      <c r="G355" s="2"/>
      <c r="H355" s="2"/>
      <c r="I355" s="2"/>
    </row>
    <row r="356" customFormat="false" ht="15" hidden="false" customHeight="false" outlineLevel="0" collapsed="false">
      <c r="A356" s="2"/>
      <c r="B356" s="2"/>
      <c r="C356" s="2"/>
      <c r="D356" s="2" t="str">
        <f aca="false">IF(C356="","",IFERROR(INDEX('动作库 Exercises'!$B:$B,MATCH(C356,'动作库 Exercises'!$A:$A,0)),"未找到ID"))</f>
        <v/>
      </c>
      <c r="E356" s="2"/>
      <c r="F356" s="2"/>
      <c r="G356" s="2"/>
      <c r="H356" s="2"/>
      <c r="I356" s="2"/>
    </row>
    <row r="357" customFormat="false" ht="15" hidden="false" customHeight="false" outlineLevel="0" collapsed="false">
      <c r="A357" s="2"/>
      <c r="B357" s="2"/>
      <c r="C357" s="2"/>
      <c r="D357" s="2" t="str">
        <f aca="false">IF(C357="","",IFERROR(INDEX('动作库 Exercises'!$B:$B,MATCH(C357,'动作库 Exercises'!$A:$A,0)),"未找到ID"))</f>
        <v/>
      </c>
      <c r="E357" s="2"/>
      <c r="F357" s="2"/>
      <c r="G357" s="2"/>
      <c r="H357" s="2"/>
      <c r="I357" s="2"/>
    </row>
    <row r="358" customFormat="false" ht="15" hidden="false" customHeight="false" outlineLevel="0" collapsed="false">
      <c r="A358" s="2"/>
      <c r="B358" s="2"/>
      <c r="C358" s="2"/>
      <c r="D358" s="2" t="str">
        <f aca="false">IF(C358="","",IFERROR(INDEX('动作库 Exercises'!$B:$B,MATCH(C358,'动作库 Exercises'!$A:$A,0)),"未找到ID"))</f>
        <v/>
      </c>
      <c r="E358" s="2"/>
      <c r="F358" s="2"/>
      <c r="G358" s="2"/>
      <c r="H358" s="2"/>
      <c r="I358" s="2"/>
    </row>
    <row r="359" customFormat="false" ht="15" hidden="false" customHeight="false" outlineLevel="0" collapsed="false">
      <c r="A359" s="2"/>
      <c r="B359" s="2"/>
      <c r="C359" s="2"/>
      <c r="D359" s="2" t="str">
        <f aca="false">IF(C359="","",IFERROR(INDEX('动作库 Exercises'!$B:$B,MATCH(C359,'动作库 Exercises'!$A:$A,0)),"未找到ID"))</f>
        <v/>
      </c>
      <c r="E359" s="2"/>
      <c r="F359" s="2"/>
      <c r="G359" s="2"/>
      <c r="H359" s="2"/>
      <c r="I359" s="2"/>
    </row>
    <row r="360" customFormat="false" ht="15" hidden="false" customHeight="false" outlineLevel="0" collapsed="false">
      <c r="A360" s="2"/>
      <c r="B360" s="2"/>
      <c r="C360" s="2"/>
      <c r="D360" s="2" t="str">
        <f aca="false">IF(C360="","",IFERROR(INDEX('动作库 Exercises'!$B:$B,MATCH(C360,'动作库 Exercises'!$A:$A,0)),"未找到ID"))</f>
        <v/>
      </c>
      <c r="E360" s="2"/>
      <c r="F360" s="2"/>
      <c r="G360" s="2"/>
      <c r="H360" s="2"/>
      <c r="I360" s="2"/>
    </row>
    <row r="361" customFormat="false" ht="15" hidden="false" customHeight="false" outlineLevel="0" collapsed="false">
      <c r="A361" s="2"/>
      <c r="B361" s="2"/>
      <c r="C361" s="2"/>
      <c r="D361" s="2" t="str">
        <f aca="false">IF(C361="","",IFERROR(INDEX('动作库 Exercises'!$B:$B,MATCH(C361,'动作库 Exercises'!$A:$A,0)),"未找到ID"))</f>
        <v/>
      </c>
      <c r="E361" s="2"/>
      <c r="F361" s="2"/>
      <c r="G361" s="2"/>
      <c r="H361" s="2"/>
      <c r="I361" s="2"/>
    </row>
    <row r="362" customFormat="false" ht="15" hidden="false" customHeight="false" outlineLevel="0" collapsed="false">
      <c r="A362" s="2"/>
      <c r="B362" s="2"/>
      <c r="C362" s="2"/>
      <c r="D362" s="2" t="str">
        <f aca="false">IF(C362="","",IFERROR(INDEX('动作库 Exercises'!$B:$B,MATCH(C362,'动作库 Exercises'!$A:$A,0)),"未找到ID"))</f>
        <v/>
      </c>
      <c r="E362" s="2"/>
      <c r="F362" s="2"/>
      <c r="G362" s="2"/>
      <c r="H362" s="2"/>
      <c r="I362" s="2"/>
    </row>
    <row r="363" customFormat="false" ht="15" hidden="false" customHeight="false" outlineLevel="0" collapsed="false">
      <c r="A363" s="2"/>
      <c r="B363" s="2"/>
      <c r="C363" s="2"/>
      <c r="D363" s="2" t="str">
        <f aca="false">IF(C363="","",IFERROR(INDEX('动作库 Exercises'!$B:$B,MATCH(C363,'动作库 Exercises'!$A:$A,0)),"未找到ID"))</f>
        <v/>
      </c>
      <c r="E363" s="2"/>
      <c r="F363" s="2"/>
      <c r="G363" s="2"/>
      <c r="H363" s="2"/>
      <c r="I363" s="2"/>
    </row>
    <row r="364" customFormat="false" ht="15" hidden="false" customHeight="false" outlineLevel="0" collapsed="false">
      <c r="A364" s="2"/>
      <c r="B364" s="2"/>
      <c r="C364" s="2"/>
      <c r="D364" s="2" t="str">
        <f aca="false">IF(C364="","",IFERROR(INDEX('动作库 Exercises'!$B:$B,MATCH(C364,'动作库 Exercises'!$A:$A,0)),"未找到ID"))</f>
        <v/>
      </c>
      <c r="E364" s="2"/>
      <c r="F364" s="2"/>
      <c r="G364" s="2"/>
      <c r="H364" s="2"/>
      <c r="I364" s="2"/>
    </row>
    <row r="365" customFormat="false" ht="15" hidden="false" customHeight="false" outlineLevel="0" collapsed="false">
      <c r="A365" s="2"/>
      <c r="B365" s="2"/>
      <c r="C365" s="2"/>
      <c r="D365" s="2" t="str">
        <f aca="false">IF(C365="","",IFERROR(INDEX('动作库 Exercises'!$B:$B,MATCH(C365,'动作库 Exercises'!$A:$A,0)),"未找到ID"))</f>
        <v/>
      </c>
      <c r="E365" s="2"/>
      <c r="F365" s="2"/>
      <c r="G365" s="2"/>
      <c r="H365" s="2"/>
      <c r="I365" s="2"/>
    </row>
    <row r="366" customFormat="false" ht="15" hidden="false" customHeight="false" outlineLevel="0" collapsed="false">
      <c r="A366" s="2"/>
      <c r="B366" s="2"/>
      <c r="C366" s="2"/>
      <c r="D366" s="2" t="str">
        <f aca="false">IF(C366="","",IFERROR(INDEX('动作库 Exercises'!$B:$B,MATCH(C366,'动作库 Exercises'!$A:$A,0)),"未找到ID"))</f>
        <v/>
      </c>
      <c r="E366" s="2"/>
      <c r="F366" s="2"/>
      <c r="G366" s="2"/>
      <c r="H366" s="2"/>
      <c r="I366" s="2"/>
    </row>
    <row r="367" customFormat="false" ht="15" hidden="false" customHeight="false" outlineLevel="0" collapsed="false">
      <c r="A367" s="2"/>
      <c r="B367" s="2"/>
      <c r="C367" s="2"/>
      <c r="D367" s="2" t="str">
        <f aca="false">IF(C367="","",IFERROR(INDEX('动作库 Exercises'!$B:$B,MATCH(C367,'动作库 Exercises'!$A:$A,0)),"未找到ID"))</f>
        <v/>
      </c>
      <c r="E367" s="2"/>
      <c r="F367" s="2"/>
      <c r="G367" s="2"/>
      <c r="H367" s="2"/>
      <c r="I367" s="2"/>
    </row>
    <row r="368" customFormat="false" ht="15" hidden="false" customHeight="false" outlineLevel="0" collapsed="false">
      <c r="A368" s="2"/>
      <c r="B368" s="2"/>
      <c r="C368" s="2"/>
      <c r="D368" s="2" t="str">
        <f aca="false">IF(C368="","",IFERROR(INDEX('动作库 Exercises'!$B:$B,MATCH(C368,'动作库 Exercises'!$A:$A,0)),"未找到ID"))</f>
        <v/>
      </c>
      <c r="E368" s="2"/>
      <c r="F368" s="2"/>
      <c r="G368" s="2"/>
      <c r="H368" s="2"/>
      <c r="I368" s="2"/>
    </row>
    <row r="369" customFormat="false" ht="15" hidden="false" customHeight="false" outlineLevel="0" collapsed="false">
      <c r="A369" s="2"/>
      <c r="B369" s="2"/>
      <c r="C369" s="2"/>
      <c r="D369" s="2" t="str">
        <f aca="false">IF(C369="","",IFERROR(INDEX('动作库 Exercises'!$B:$B,MATCH(C369,'动作库 Exercises'!$A:$A,0)),"未找到ID"))</f>
        <v/>
      </c>
      <c r="E369" s="2"/>
      <c r="F369" s="2"/>
      <c r="G369" s="2"/>
      <c r="H369" s="2"/>
      <c r="I369" s="2"/>
    </row>
    <row r="370" customFormat="false" ht="15" hidden="false" customHeight="false" outlineLevel="0" collapsed="false">
      <c r="A370" s="2"/>
      <c r="B370" s="2"/>
      <c r="C370" s="2"/>
      <c r="D370" s="2" t="str">
        <f aca="false">IF(C370="","",IFERROR(INDEX('动作库 Exercises'!$B:$B,MATCH(C370,'动作库 Exercises'!$A:$A,0)),"未找到ID"))</f>
        <v/>
      </c>
      <c r="E370" s="2"/>
      <c r="F370" s="2"/>
      <c r="G370" s="2"/>
      <c r="H370" s="2"/>
      <c r="I370" s="2"/>
    </row>
    <row r="371" customFormat="false" ht="15" hidden="false" customHeight="false" outlineLevel="0" collapsed="false">
      <c r="A371" s="2"/>
      <c r="B371" s="2"/>
      <c r="C371" s="2"/>
      <c r="D371" s="2" t="str">
        <f aca="false">IF(C371="","",IFERROR(INDEX('动作库 Exercises'!$B:$B,MATCH(C371,'动作库 Exercises'!$A:$A,0)),"未找到ID"))</f>
        <v/>
      </c>
      <c r="E371" s="2"/>
      <c r="F371" s="2"/>
      <c r="G371" s="2"/>
      <c r="H371" s="2"/>
      <c r="I371" s="2"/>
    </row>
    <row r="372" customFormat="false" ht="15" hidden="false" customHeight="false" outlineLevel="0" collapsed="false">
      <c r="A372" s="2"/>
      <c r="B372" s="2"/>
      <c r="C372" s="2"/>
      <c r="D372" s="2" t="str">
        <f aca="false">IF(C372="","",IFERROR(INDEX('动作库 Exercises'!$B:$B,MATCH(C372,'动作库 Exercises'!$A:$A,0)),"未找到ID"))</f>
        <v/>
      </c>
      <c r="E372" s="2"/>
      <c r="F372" s="2"/>
      <c r="G372" s="2"/>
      <c r="H372" s="2"/>
      <c r="I372" s="2"/>
    </row>
    <row r="373" customFormat="false" ht="15" hidden="false" customHeight="false" outlineLevel="0" collapsed="false">
      <c r="A373" s="2"/>
      <c r="B373" s="2"/>
      <c r="C373" s="2"/>
      <c r="D373" s="2" t="str">
        <f aca="false">IF(C373="","",IFERROR(INDEX('动作库 Exercises'!$B:$B,MATCH(C373,'动作库 Exercises'!$A:$A,0)),"未找到ID"))</f>
        <v/>
      </c>
      <c r="E373" s="2"/>
      <c r="F373" s="2"/>
      <c r="G373" s="2"/>
      <c r="H373" s="2"/>
      <c r="I373" s="2"/>
    </row>
    <row r="374" customFormat="false" ht="15" hidden="false" customHeight="false" outlineLevel="0" collapsed="false">
      <c r="A374" s="2"/>
      <c r="B374" s="2"/>
      <c r="C374" s="2"/>
      <c r="D374" s="2" t="str">
        <f aca="false">IF(C374="","",IFERROR(INDEX('动作库 Exercises'!$B:$B,MATCH(C374,'动作库 Exercises'!$A:$A,0)),"未找到ID"))</f>
        <v/>
      </c>
      <c r="E374" s="2"/>
      <c r="F374" s="2"/>
      <c r="G374" s="2"/>
      <c r="H374" s="2"/>
      <c r="I374" s="2"/>
    </row>
    <row r="375" customFormat="false" ht="15" hidden="false" customHeight="false" outlineLevel="0" collapsed="false">
      <c r="A375" s="2"/>
      <c r="B375" s="2"/>
      <c r="C375" s="2"/>
      <c r="D375" s="2" t="str">
        <f aca="false">IF(C375="","",IFERROR(INDEX('动作库 Exercises'!$B:$B,MATCH(C375,'动作库 Exercises'!$A:$A,0)),"未找到ID"))</f>
        <v/>
      </c>
      <c r="E375" s="2"/>
      <c r="F375" s="2"/>
      <c r="G375" s="2"/>
      <c r="H375" s="2"/>
      <c r="I375" s="2"/>
    </row>
    <row r="376" customFormat="false" ht="15" hidden="false" customHeight="false" outlineLevel="0" collapsed="false">
      <c r="A376" s="2"/>
      <c r="B376" s="2"/>
      <c r="C376" s="2"/>
      <c r="D376" s="2" t="str">
        <f aca="false">IF(C376="","",IFERROR(INDEX('动作库 Exercises'!$B:$B,MATCH(C376,'动作库 Exercises'!$A:$A,0)),"未找到ID"))</f>
        <v/>
      </c>
      <c r="E376" s="2"/>
      <c r="F376" s="2"/>
      <c r="G376" s="2"/>
      <c r="H376" s="2"/>
      <c r="I376" s="2"/>
    </row>
    <row r="377" customFormat="false" ht="15" hidden="false" customHeight="false" outlineLevel="0" collapsed="false">
      <c r="A377" s="2"/>
      <c r="B377" s="2"/>
      <c r="C377" s="2"/>
      <c r="D377" s="2" t="str">
        <f aca="false">IF(C377="","",IFERROR(INDEX('动作库 Exercises'!$B:$B,MATCH(C377,'动作库 Exercises'!$A:$A,0)),"未找到ID"))</f>
        <v/>
      </c>
      <c r="E377" s="2"/>
      <c r="F377" s="2"/>
      <c r="G377" s="2"/>
      <c r="H377" s="2"/>
      <c r="I377" s="2"/>
    </row>
    <row r="378" customFormat="false" ht="15" hidden="false" customHeight="false" outlineLevel="0" collapsed="false">
      <c r="A378" s="2"/>
      <c r="B378" s="2"/>
      <c r="C378" s="2"/>
      <c r="D378" s="2" t="str">
        <f aca="false">IF(C378="","",IFERROR(INDEX('动作库 Exercises'!$B:$B,MATCH(C378,'动作库 Exercises'!$A:$A,0)),"未找到ID"))</f>
        <v/>
      </c>
      <c r="E378" s="2"/>
      <c r="F378" s="2"/>
      <c r="G378" s="2"/>
      <c r="H378" s="2"/>
      <c r="I378" s="2"/>
    </row>
    <row r="379" customFormat="false" ht="15" hidden="false" customHeight="false" outlineLevel="0" collapsed="false">
      <c r="A379" s="2"/>
      <c r="B379" s="2"/>
      <c r="C379" s="2"/>
      <c r="D379" s="2" t="str">
        <f aca="false">IF(C379="","",IFERROR(INDEX('动作库 Exercises'!$B:$B,MATCH(C379,'动作库 Exercises'!$A:$A,0)),"未找到ID"))</f>
        <v/>
      </c>
      <c r="E379" s="2"/>
      <c r="F379" s="2"/>
      <c r="G379" s="2"/>
      <c r="H379" s="2"/>
      <c r="I379" s="2"/>
    </row>
    <row r="380" customFormat="false" ht="15" hidden="false" customHeight="false" outlineLevel="0" collapsed="false">
      <c r="A380" s="2"/>
      <c r="B380" s="2"/>
      <c r="C380" s="2"/>
      <c r="D380" s="2" t="str">
        <f aca="false">IF(C380="","",IFERROR(INDEX('动作库 Exercises'!$B:$B,MATCH(C380,'动作库 Exercises'!$A:$A,0)),"未找到ID"))</f>
        <v/>
      </c>
      <c r="E380" s="2"/>
      <c r="F380" s="2"/>
      <c r="G380" s="2"/>
      <c r="H380" s="2"/>
      <c r="I380" s="2"/>
    </row>
    <row r="381" customFormat="false" ht="15" hidden="false" customHeight="false" outlineLevel="0" collapsed="false">
      <c r="A381" s="2"/>
      <c r="B381" s="2"/>
      <c r="C381" s="2"/>
      <c r="D381" s="2" t="str">
        <f aca="false">IF(C381="","",IFERROR(INDEX('动作库 Exercises'!$B:$B,MATCH(C381,'动作库 Exercises'!$A:$A,0)),"未找到ID"))</f>
        <v/>
      </c>
      <c r="E381" s="2"/>
      <c r="F381" s="2"/>
      <c r="G381" s="2"/>
      <c r="H381" s="2"/>
      <c r="I381" s="2"/>
    </row>
    <row r="382" customFormat="false" ht="15" hidden="false" customHeight="false" outlineLevel="0" collapsed="false">
      <c r="A382" s="2"/>
      <c r="B382" s="2"/>
      <c r="C382" s="2"/>
      <c r="D382" s="2" t="str">
        <f aca="false">IF(C382="","",IFERROR(INDEX('动作库 Exercises'!$B:$B,MATCH(C382,'动作库 Exercises'!$A:$A,0)),"未找到ID"))</f>
        <v/>
      </c>
      <c r="E382" s="2"/>
      <c r="F382" s="2"/>
      <c r="G382" s="2"/>
      <c r="H382" s="2"/>
      <c r="I382" s="2"/>
    </row>
    <row r="383" customFormat="false" ht="15" hidden="false" customHeight="false" outlineLevel="0" collapsed="false">
      <c r="A383" s="2"/>
      <c r="B383" s="2"/>
      <c r="C383" s="2"/>
      <c r="D383" s="2" t="str">
        <f aca="false">IF(C383="","",IFERROR(INDEX('动作库 Exercises'!$B:$B,MATCH(C383,'动作库 Exercises'!$A:$A,0)),"未找到ID"))</f>
        <v/>
      </c>
      <c r="E383" s="2"/>
      <c r="F383" s="2"/>
      <c r="G383" s="2"/>
      <c r="H383" s="2"/>
      <c r="I383" s="2"/>
    </row>
    <row r="384" customFormat="false" ht="15" hidden="false" customHeight="false" outlineLevel="0" collapsed="false">
      <c r="A384" s="2"/>
      <c r="B384" s="2"/>
      <c r="C384" s="2"/>
      <c r="D384" s="2" t="str">
        <f aca="false">IF(C384="","",IFERROR(INDEX('动作库 Exercises'!$B:$B,MATCH(C384,'动作库 Exercises'!$A:$A,0)),"未找到ID"))</f>
        <v/>
      </c>
      <c r="E384" s="2"/>
      <c r="F384" s="2"/>
      <c r="G384" s="2"/>
      <c r="H384" s="2"/>
      <c r="I384" s="2"/>
    </row>
    <row r="385" customFormat="false" ht="15" hidden="false" customHeight="false" outlineLevel="0" collapsed="false">
      <c r="A385" s="2"/>
      <c r="B385" s="2"/>
      <c r="C385" s="2"/>
      <c r="D385" s="2" t="str">
        <f aca="false">IF(C385="","",IFERROR(INDEX('动作库 Exercises'!$B:$B,MATCH(C385,'动作库 Exercises'!$A:$A,0)),"未找到ID"))</f>
        <v/>
      </c>
      <c r="E385" s="2"/>
      <c r="F385" s="2"/>
      <c r="G385" s="2"/>
      <c r="H385" s="2"/>
      <c r="I385" s="2"/>
    </row>
    <row r="386" customFormat="false" ht="15" hidden="false" customHeight="false" outlineLevel="0" collapsed="false">
      <c r="A386" s="2"/>
      <c r="B386" s="2"/>
      <c r="C386" s="2"/>
      <c r="D386" s="2" t="str">
        <f aca="false">IF(C386="","",IFERROR(INDEX('动作库 Exercises'!$B:$B,MATCH(C386,'动作库 Exercises'!$A:$A,0)),"未找到ID"))</f>
        <v/>
      </c>
      <c r="E386" s="2"/>
      <c r="F386" s="2"/>
      <c r="G386" s="2"/>
      <c r="H386" s="2"/>
      <c r="I386" s="2"/>
    </row>
    <row r="387" customFormat="false" ht="15" hidden="false" customHeight="false" outlineLevel="0" collapsed="false">
      <c r="A387" s="2"/>
      <c r="B387" s="2"/>
      <c r="C387" s="2"/>
      <c r="D387" s="2" t="str">
        <f aca="false">IF(C387="","",IFERROR(INDEX('动作库 Exercises'!$B:$B,MATCH(C387,'动作库 Exercises'!$A:$A,0)),"未找到ID"))</f>
        <v/>
      </c>
      <c r="E387" s="2"/>
      <c r="F387" s="2"/>
      <c r="G387" s="2"/>
      <c r="H387" s="2"/>
      <c r="I387" s="2"/>
    </row>
    <row r="388" customFormat="false" ht="15" hidden="false" customHeight="false" outlineLevel="0" collapsed="false">
      <c r="A388" s="2"/>
      <c r="B388" s="2"/>
      <c r="C388" s="2"/>
      <c r="D388" s="2" t="str">
        <f aca="false">IF(C388="","",IFERROR(INDEX('动作库 Exercises'!$B:$B,MATCH(C388,'动作库 Exercises'!$A:$A,0)),"未找到ID"))</f>
        <v/>
      </c>
      <c r="E388" s="2"/>
      <c r="F388" s="2"/>
      <c r="G388" s="2"/>
      <c r="H388" s="2"/>
      <c r="I388" s="2"/>
    </row>
    <row r="389" customFormat="false" ht="15" hidden="false" customHeight="false" outlineLevel="0" collapsed="false">
      <c r="A389" s="2"/>
      <c r="B389" s="2"/>
      <c r="C389" s="2"/>
      <c r="D389" s="2" t="str">
        <f aca="false">IF(C389="","",IFERROR(INDEX('动作库 Exercises'!$B:$B,MATCH(C389,'动作库 Exercises'!$A:$A,0)),"未找到ID"))</f>
        <v/>
      </c>
      <c r="E389" s="2"/>
      <c r="F389" s="2"/>
      <c r="G389" s="2"/>
      <c r="H389" s="2"/>
      <c r="I389" s="2"/>
    </row>
    <row r="390" customFormat="false" ht="15" hidden="false" customHeight="false" outlineLevel="0" collapsed="false">
      <c r="A390" s="2"/>
      <c r="B390" s="2"/>
      <c r="C390" s="2"/>
      <c r="D390" s="2" t="str">
        <f aca="false">IF(C390="","",IFERROR(INDEX('动作库 Exercises'!$B:$B,MATCH(C390,'动作库 Exercises'!$A:$A,0)),"未找到ID"))</f>
        <v/>
      </c>
      <c r="E390" s="2"/>
      <c r="F390" s="2"/>
      <c r="G390" s="2"/>
      <c r="H390" s="2"/>
      <c r="I390" s="2"/>
    </row>
    <row r="391" customFormat="false" ht="15" hidden="false" customHeight="false" outlineLevel="0" collapsed="false">
      <c r="A391" s="2"/>
      <c r="B391" s="2"/>
      <c r="C391" s="2"/>
      <c r="D391" s="2" t="str">
        <f aca="false">IF(C391="","",IFERROR(INDEX('动作库 Exercises'!$B:$B,MATCH(C391,'动作库 Exercises'!$A:$A,0)),"未找到ID"))</f>
        <v/>
      </c>
      <c r="E391" s="2"/>
      <c r="F391" s="2"/>
      <c r="G391" s="2"/>
      <c r="H391" s="2"/>
      <c r="I391" s="2"/>
    </row>
    <row r="392" customFormat="false" ht="15" hidden="false" customHeight="false" outlineLevel="0" collapsed="false">
      <c r="A392" s="2"/>
      <c r="B392" s="2"/>
      <c r="C392" s="2"/>
      <c r="D392" s="2" t="str">
        <f aca="false">IF(C392="","",IFERROR(INDEX('动作库 Exercises'!$B:$B,MATCH(C392,'动作库 Exercises'!$A:$A,0)),"未找到ID"))</f>
        <v/>
      </c>
      <c r="E392" s="2"/>
      <c r="F392" s="2"/>
      <c r="G392" s="2"/>
      <c r="H392" s="2"/>
      <c r="I392" s="2"/>
    </row>
    <row r="393" customFormat="false" ht="15" hidden="false" customHeight="false" outlineLevel="0" collapsed="false">
      <c r="A393" s="2"/>
      <c r="B393" s="2"/>
      <c r="C393" s="2"/>
      <c r="D393" s="2" t="str">
        <f aca="false">IF(C393="","",IFERROR(INDEX('动作库 Exercises'!$B:$B,MATCH(C393,'动作库 Exercises'!$A:$A,0)),"未找到ID"))</f>
        <v/>
      </c>
      <c r="E393" s="2"/>
      <c r="F393" s="2"/>
      <c r="G393" s="2"/>
      <c r="H393" s="2"/>
      <c r="I393" s="2"/>
    </row>
    <row r="394" customFormat="false" ht="15" hidden="false" customHeight="false" outlineLevel="0" collapsed="false">
      <c r="A394" s="2"/>
      <c r="B394" s="2"/>
      <c r="C394" s="2"/>
      <c r="D394" s="2" t="str">
        <f aca="false">IF(C394="","",IFERROR(INDEX('动作库 Exercises'!$B:$B,MATCH(C394,'动作库 Exercises'!$A:$A,0)),"未找到ID"))</f>
        <v/>
      </c>
      <c r="E394" s="2"/>
      <c r="F394" s="2"/>
      <c r="G394" s="2"/>
      <c r="H394" s="2"/>
      <c r="I394" s="2"/>
    </row>
    <row r="395" customFormat="false" ht="15" hidden="false" customHeight="false" outlineLevel="0" collapsed="false">
      <c r="A395" s="2"/>
      <c r="B395" s="2"/>
      <c r="C395" s="2"/>
      <c r="D395" s="2" t="str">
        <f aca="false">IF(C395="","",IFERROR(INDEX('动作库 Exercises'!$B:$B,MATCH(C395,'动作库 Exercises'!$A:$A,0)),"未找到ID"))</f>
        <v/>
      </c>
      <c r="E395" s="2"/>
      <c r="F395" s="2"/>
      <c r="G395" s="2"/>
      <c r="H395" s="2"/>
      <c r="I395" s="2"/>
    </row>
    <row r="396" customFormat="false" ht="15" hidden="false" customHeight="false" outlineLevel="0" collapsed="false">
      <c r="A396" s="2"/>
      <c r="B396" s="2"/>
      <c r="C396" s="2"/>
      <c r="D396" s="2" t="str">
        <f aca="false">IF(C396="","",IFERROR(INDEX('动作库 Exercises'!$B:$B,MATCH(C396,'动作库 Exercises'!$A:$A,0)),"未找到ID"))</f>
        <v/>
      </c>
      <c r="E396" s="2"/>
      <c r="F396" s="2"/>
      <c r="G396" s="2"/>
      <c r="H396" s="2"/>
      <c r="I396" s="2"/>
    </row>
    <row r="397" customFormat="false" ht="15" hidden="false" customHeight="false" outlineLevel="0" collapsed="false">
      <c r="A397" s="2"/>
      <c r="B397" s="2"/>
      <c r="C397" s="2"/>
      <c r="D397" s="2" t="str">
        <f aca="false">IF(C397="","",IFERROR(INDEX('动作库 Exercises'!$B:$B,MATCH(C397,'动作库 Exercises'!$A:$A,0)),"未找到ID"))</f>
        <v/>
      </c>
      <c r="E397" s="2"/>
      <c r="F397" s="2"/>
      <c r="G397" s="2"/>
      <c r="H397" s="2"/>
      <c r="I397" s="2"/>
    </row>
    <row r="398" customFormat="false" ht="15" hidden="false" customHeight="false" outlineLevel="0" collapsed="false">
      <c r="A398" s="2"/>
      <c r="B398" s="2"/>
      <c r="C398" s="2"/>
      <c r="D398" s="2" t="str">
        <f aca="false">IF(C398="","",IFERROR(INDEX('动作库 Exercises'!$B:$B,MATCH(C398,'动作库 Exercises'!$A:$A,0)),"未找到ID"))</f>
        <v/>
      </c>
      <c r="E398" s="2"/>
      <c r="F398" s="2"/>
      <c r="G398" s="2"/>
      <c r="H398" s="2"/>
      <c r="I398" s="2"/>
    </row>
    <row r="399" customFormat="false" ht="15" hidden="false" customHeight="false" outlineLevel="0" collapsed="false">
      <c r="A399" s="2"/>
      <c r="B399" s="2"/>
      <c r="C399" s="2"/>
      <c r="D399" s="2" t="str">
        <f aca="false">IF(C399="","",IFERROR(INDEX('动作库 Exercises'!$B:$B,MATCH(C399,'动作库 Exercises'!$A:$A,0)),"未找到ID"))</f>
        <v/>
      </c>
      <c r="E399" s="2"/>
      <c r="F399" s="2"/>
      <c r="G399" s="2"/>
      <c r="H399" s="2"/>
      <c r="I399" s="2"/>
    </row>
    <row r="400" customFormat="false" ht="15" hidden="false" customHeight="false" outlineLevel="0" collapsed="false">
      <c r="A400" s="2"/>
      <c r="B400" s="2"/>
      <c r="C400" s="2"/>
      <c r="D400" s="2" t="str">
        <f aca="false">IF(C400="","",IFERROR(INDEX('动作库 Exercises'!$B:$B,MATCH(C400,'动作库 Exercises'!$A:$A,0)),"未找到ID"))</f>
        <v/>
      </c>
      <c r="E400" s="2"/>
      <c r="F400" s="2"/>
      <c r="G400" s="2"/>
      <c r="H400" s="2"/>
      <c r="I400" s="2"/>
    </row>
    <row r="401" customFormat="false" ht="15" hidden="false" customHeight="false" outlineLevel="0" collapsed="false">
      <c r="A401" s="2"/>
      <c r="B401" s="2"/>
      <c r="C401" s="2"/>
      <c r="D401" s="2" t="str">
        <f aca="false">IF(C401="","",IFERROR(INDEX('动作库 Exercises'!$B:$B,MATCH(C401,'动作库 Exercises'!$A:$A,0)),"未找到ID"))</f>
        <v/>
      </c>
      <c r="E401" s="2"/>
      <c r="F401" s="2"/>
      <c r="G401" s="2"/>
      <c r="H401" s="2"/>
      <c r="I401" s="2"/>
    </row>
    <row r="402" customFormat="false" ht="15" hidden="false" customHeight="false" outlineLevel="0" collapsed="false">
      <c r="A402" s="2"/>
      <c r="B402" s="2"/>
      <c r="C402" s="2"/>
      <c r="D402" s="2" t="str">
        <f aca="false">IF(C402="","",IFERROR(INDEX('动作库 Exercises'!$B:$B,MATCH(C402,'动作库 Exercises'!$A:$A,0)),"未找到ID"))</f>
        <v/>
      </c>
      <c r="E402" s="2"/>
      <c r="F402" s="2"/>
      <c r="G402" s="2"/>
      <c r="H402" s="2"/>
      <c r="I402" s="2"/>
    </row>
    <row r="403" customFormat="false" ht="15" hidden="false" customHeight="false" outlineLevel="0" collapsed="false">
      <c r="A403" s="2"/>
      <c r="B403" s="2"/>
      <c r="C403" s="2"/>
      <c r="D403" s="2" t="str">
        <f aca="false">IF(C403="","",IFERROR(INDEX('动作库 Exercises'!$B:$B,MATCH(C403,'动作库 Exercises'!$A:$A,0)),"未找到ID"))</f>
        <v/>
      </c>
      <c r="E403" s="2"/>
      <c r="F403" s="2"/>
      <c r="G403" s="2"/>
      <c r="H403" s="2"/>
      <c r="I403" s="2"/>
    </row>
    <row r="404" customFormat="false" ht="15" hidden="false" customHeight="false" outlineLevel="0" collapsed="false">
      <c r="A404" s="2"/>
      <c r="B404" s="2"/>
      <c r="C404" s="2"/>
      <c r="D404" s="2" t="str">
        <f aca="false">IF(C404="","",IFERROR(INDEX('动作库 Exercises'!$B:$B,MATCH(C404,'动作库 Exercises'!$A:$A,0)),"未找到ID"))</f>
        <v/>
      </c>
      <c r="E404" s="2"/>
      <c r="F404" s="2"/>
      <c r="G404" s="2"/>
      <c r="H404" s="2"/>
      <c r="I404" s="2"/>
    </row>
    <row r="405" customFormat="false" ht="15" hidden="false" customHeight="false" outlineLevel="0" collapsed="false">
      <c r="A405" s="2"/>
      <c r="B405" s="2"/>
      <c r="C405" s="2"/>
      <c r="D405" s="2" t="str">
        <f aca="false">IF(C405="","",IFERROR(INDEX('动作库 Exercises'!$B:$B,MATCH(C405,'动作库 Exercises'!$A:$A,0)),"未找到ID"))</f>
        <v/>
      </c>
      <c r="E405" s="2"/>
      <c r="F405" s="2"/>
      <c r="G405" s="2"/>
      <c r="H405" s="2"/>
      <c r="I405" s="2"/>
    </row>
    <row r="406" customFormat="false" ht="15" hidden="false" customHeight="false" outlineLevel="0" collapsed="false">
      <c r="A406" s="2"/>
      <c r="B406" s="2"/>
      <c r="C406" s="2"/>
      <c r="D406" s="2" t="str">
        <f aca="false">IF(C406="","",IFERROR(INDEX('动作库 Exercises'!$B:$B,MATCH(C406,'动作库 Exercises'!$A:$A,0)),"未找到ID"))</f>
        <v/>
      </c>
      <c r="E406" s="2"/>
      <c r="F406" s="2"/>
      <c r="G406" s="2"/>
      <c r="H406" s="2"/>
      <c r="I406" s="2"/>
    </row>
    <row r="407" customFormat="false" ht="15" hidden="false" customHeight="false" outlineLevel="0" collapsed="false">
      <c r="A407" s="2"/>
      <c r="B407" s="2"/>
      <c r="C407" s="2"/>
      <c r="D407" s="2" t="str">
        <f aca="false">IF(C407="","",IFERROR(INDEX('动作库 Exercises'!$B:$B,MATCH(C407,'动作库 Exercises'!$A:$A,0)),"未找到ID"))</f>
        <v/>
      </c>
      <c r="E407" s="2"/>
      <c r="F407" s="2"/>
      <c r="G407" s="2"/>
      <c r="H407" s="2"/>
      <c r="I407" s="2"/>
    </row>
    <row r="408" customFormat="false" ht="15" hidden="false" customHeight="false" outlineLevel="0" collapsed="false">
      <c r="A408" s="2"/>
      <c r="B408" s="2"/>
      <c r="C408" s="2"/>
      <c r="D408" s="2" t="str">
        <f aca="false">IF(C408="","",IFERROR(INDEX('动作库 Exercises'!$B:$B,MATCH(C408,'动作库 Exercises'!$A:$A,0)),"未找到ID"))</f>
        <v/>
      </c>
      <c r="E408" s="2"/>
      <c r="F408" s="2"/>
      <c r="G408" s="2"/>
      <c r="H408" s="2"/>
      <c r="I408" s="2"/>
    </row>
    <row r="409" customFormat="false" ht="15" hidden="false" customHeight="false" outlineLevel="0" collapsed="false">
      <c r="A409" s="2"/>
      <c r="B409" s="2"/>
      <c r="C409" s="2"/>
      <c r="D409" s="2" t="str">
        <f aca="false">IF(C409="","",IFERROR(INDEX('动作库 Exercises'!$B:$B,MATCH(C409,'动作库 Exercises'!$A:$A,0)),"未找到ID"))</f>
        <v/>
      </c>
      <c r="E409" s="2"/>
      <c r="F409" s="2"/>
      <c r="G409" s="2"/>
      <c r="H409" s="2"/>
      <c r="I409" s="2"/>
    </row>
    <row r="410" customFormat="false" ht="15" hidden="false" customHeight="false" outlineLevel="0" collapsed="false">
      <c r="A410" s="2"/>
      <c r="B410" s="2"/>
      <c r="C410" s="2"/>
      <c r="D410" s="2" t="str">
        <f aca="false">IF(C410="","",IFERROR(INDEX('动作库 Exercises'!$B:$B,MATCH(C410,'动作库 Exercises'!$A:$A,0)),"未找到ID"))</f>
        <v/>
      </c>
      <c r="E410" s="2"/>
      <c r="F410" s="2"/>
      <c r="G410" s="2"/>
      <c r="H410" s="2"/>
      <c r="I410" s="2"/>
    </row>
    <row r="411" customFormat="false" ht="15" hidden="false" customHeight="false" outlineLevel="0" collapsed="false">
      <c r="A411" s="2"/>
      <c r="B411" s="2"/>
      <c r="C411" s="2"/>
      <c r="D411" s="2" t="str">
        <f aca="false">IF(C411="","",IFERROR(INDEX('动作库 Exercises'!$B:$B,MATCH(C411,'动作库 Exercises'!$A:$A,0)),"未找到ID"))</f>
        <v/>
      </c>
      <c r="E411" s="2"/>
      <c r="F411" s="2"/>
      <c r="G411" s="2"/>
      <c r="H411" s="2"/>
      <c r="I411" s="2"/>
    </row>
    <row r="412" customFormat="false" ht="15" hidden="false" customHeight="false" outlineLevel="0" collapsed="false">
      <c r="A412" s="2"/>
      <c r="B412" s="2"/>
      <c r="C412" s="2"/>
      <c r="D412" s="2" t="str">
        <f aca="false">IF(C412="","",IFERROR(INDEX('动作库 Exercises'!$B:$B,MATCH(C412,'动作库 Exercises'!$A:$A,0)),"未找到ID"))</f>
        <v/>
      </c>
      <c r="E412" s="2"/>
      <c r="F412" s="2"/>
      <c r="G412" s="2"/>
      <c r="H412" s="2"/>
      <c r="I412" s="2"/>
    </row>
    <row r="413" customFormat="false" ht="15" hidden="false" customHeight="false" outlineLevel="0" collapsed="false">
      <c r="A413" s="2"/>
      <c r="B413" s="2"/>
      <c r="C413" s="2"/>
      <c r="D413" s="2" t="str">
        <f aca="false">IF(C413="","",IFERROR(INDEX('动作库 Exercises'!$B:$B,MATCH(C413,'动作库 Exercises'!$A:$A,0)),"未找到ID"))</f>
        <v/>
      </c>
      <c r="E413" s="2"/>
      <c r="F413" s="2"/>
      <c r="G413" s="2"/>
      <c r="H413" s="2"/>
      <c r="I413" s="2"/>
    </row>
    <row r="414" customFormat="false" ht="15" hidden="false" customHeight="false" outlineLevel="0" collapsed="false">
      <c r="A414" s="2"/>
      <c r="B414" s="2"/>
      <c r="C414" s="2"/>
      <c r="D414" s="2" t="str">
        <f aca="false">IF(C414="","",IFERROR(INDEX('动作库 Exercises'!$B:$B,MATCH(C414,'动作库 Exercises'!$A:$A,0)),"未找到ID"))</f>
        <v/>
      </c>
      <c r="E414" s="2"/>
      <c r="F414" s="2"/>
      <c r="G414" s="2"/>
      <c r="H414" s="2"/>
      <c r="I414" s="2"/>
    </row>
    <row r="415" customFormat="false" ht="15" hidden="false" customHeight="false" outlineLevel="0" collapsed="false">
      <c r="A415" s="2"/>
      <c r="B415" s="2"/>
      <c r="C415" s="2"/>
      <c r="D415" s="2" t="str">
        <f aca="false">IF(C415="","",IFERROR(INDEX('动作库 Exercises'!$B:$B,MATCH(C415,'动作库 Exercises'!$A:$A,0)),"未找到ID"))</f>
        <v/>
      </c>
      <c r="E415" s="2"/>
      <c r="F415" s="2"/>
      <c r="G415" s="2"/>
      <c r="H415" s="2"/>
      <c r="I415" s="2"/>
    </row>
    <row r="416" customFormat="false" ht="15" hidden="false" customHeight="false" outlineLevel="0" collapsed="false">
      <c r="A416" s="2"/>
      <c r="B416" s="2"/>
      <c r="C416" s="2"/>
      <c r="D416" s="2" t="str">
        <f aca="false">IF(C416="","",IFERROR(INDEX('动作库 Exercises'!$B:$B,MATCH(C416,'动作库 Exercises'!$A:$A,0)),"未找到ID"))</f>
        <v/>
      </c>
      <c r="E416" s="2"/>
      <c r="F416" s="2"/>
      <c r="G416" s="2"/>
      <c r="H416" s="2"/>
      <c r="I416" s="2"/>
    </row>
    <row r="417" customFormat="false" ht="15" hidden="false" customHeight="false" outlineLevel="0" collapsed="false">
      <c r="A417" s="2"/>
      <c r="B417" s="2"/>
      <c r="C417" s="2"/>
      <c r="D417" s="2" t="str">
        <f aca="false">IF(C417="","",IFERROR(INDEX('动作库 Exercises'!$B:$B,MATCH(C417,'动作库 Exercises'!$A:$A,0)),"未找到ID"))</f>
        <v/>
      </c>
      <c r="E417" s="2"/>
      <c r="F417" s="2"/>
      <c r="G417" s="2"/>
      <c r="H417" s="2"/>
      <c r="I417" s="2"/>
    </row>
    <row r="418" customFormat="false" ht="15" hidden="false" customHeight="false" outlineLevel="0" collapsed="false">
      <c r="A418" s="2"/>
      <c r="B418" s="2"/>
      <c r="C418" s="2"/>
      <c r="D418" s="2" t="str">
        <f aca="false">IF(C418="","",IFERROR(INDEX('动作库 Exercises'!$B:$B,MATCH(C418,'动作库 Exercises'!$A:$A,0)),"未找到ID"))</f>
        <v/>
      </c>
      <c r="E418" s="2"/>
      <c r="F418" s="2"/>
      <c r="G418" s="2"/>
      <c r="H418" s="2"/>
      <c r="I418" s="2"/>
    </row>
    <row r="419" customFormat="false" ht="15" hidden="false" customHeight="false" outlineLevel="0" collapsed="false">
      <c r="A419" s="2"/>
      <c r="B419" s="2"/>
      <c r="C419" s="2"/>
      <c r="D419" s="2" t="str">
        <f aca="false">IF(C419="","",IFERROR(INDEX('动作库 Exercises'!$B:$B,MATCH(C419,'动作库 Exercises'!$A:$A,0)),"未找到ID"))</f>
        <v/>
      </c>
      <c r="E419" s="2"/>
      <c r="F419" s="2"/>
      <c r="G419" s="2"/>
      <c r="H419" s="2"/>
      <c r="I419" s="2"/>
    </row>
    <row r="420" customFormat="false" ht="15" hidden="false" customHeight="false" outlineLevel="0" collapsed="false">
      <c r="A420" s="2"/>
      <c r="B420" s="2"/>
      <c r="C420" s="2"/>
      <c r="D420" s="2" t="str">
        <f aca="false">IF(C420="","",IFERROR(INDEX('动作库 Exercises'!$B:$B,MATCH(C420,'动作库 Exercises'!$A:$A,0)),"未找到ID"))</f>
        <v/>
      </c>
      <c r="E420" s="2"/>
      <c r="F420" s="2"/>
      <c r="G420" s="2"/>
      <c r="H420" s="2"/>
      <c r="I420" s="2"/>
    </row>
    <row r="421" customFormat="false" ht="15" hidden="false" customHeight="false" outlineLevel="0" collapsed="false">
      <c r="A421" s="2"/>
      <c r="B421" s="2"/>
      <c r="C421" s="2"/>
      <c r="D421" s="2" t="str">
        <f aca="false">IF(C421="","",IFERROR(INDEX('动作库 Exercises'!$B:$B,MATCH(C421,'动作库 Exercises'!$A:$A,0)),"未找到ID"))</f>
        <v/>
      </c>
      <c r="E421" s="2"/>
      <c r="F421" s="2"/>
      <c r="G421" s="2"/>
      <c r="H421" s="2"/>
      <c r="I421" s="2"/>
    </row>
    <row r="422" customFormat="false" ht="15" hidden="false" customHeight="false" outlineLevel="0" collapsed="false">
      <c r="A422" s="2"/>
      <c r="B422" s="2"/>
      <c r="C422" s="2"/>
      <c r="D422" s="2" t="str">
        <f aca="false">IF(C422="","",IFERROR(INDEX('动作库 Exercises'!$B:$B,MATCH(C422,'动作库 Exercises'!$A:$A,0)),"未找到ID"))</f>
        <v/>
      </c>
      <c r="E422" s="2"/>
      <c r="F422" s="2"/>
      <c r="G422" s="2"/>
      <c r="H422" s="2"/>
      <c r="I422" s="2"/>
    </row>
    <row r="423" customFormat="false" ht="15" hidden="false" customHeight="false" outlineLevel="0" collapsed="false">
      <c r="A423" s="2"/>
      <c r="B423" s="2"/>
      <c r="C423" s="2"/>
      <c r="D423" s="2" t="str">
        <f aca="false">IF(C423="","",IFERROR(INDEX('动作库 Exercises'!$B:$B,MATCH(C423,'动作库 Exercises'!$A:$A,0)),"未找到ID"))</f>
        <v/>
      </c>
      <c r="E423" s="2"/>
      <c r="F423" s="2"/>
      <c r="G423" s="2"/>
      <c r="H423" s="2"/>
      <c r="I423" s="2"/>
    </row>
    <row r="424" customFormat="false" ht="15" hidden="false" customHeight="false" outlineLevel="0" collapsed="false">
      <c r="A424" s="2"/>
      <c r="B424" s="2"/>
      <c r="C424" s="2"/>
      <c r="D424" s="2" t="str">
        <f aca="false">IF(C424="","",IFERROR(INDEX('动作库 Exercises'!$B:$B,MATCH(C424,'动作库 Exercises'!$A:$A,0)),"未找到ID"))</f>
        <v/>
      </c>
      <c r="E424" s="2"/>
      <c r="F424" s="2"/>
      <c r="G424" s="2"/>
      <c r="H424" s="2"/>
      <c r="I424" s="2"/>
    </row>
    <row r="425" customFormat="false" ht="15" hidden="false" customHeight="false" outlineLevel="0" collapsed="false">
      <c r="A425" s="2"/>
      <c r="B425" s="2"/>
      <c r="C425" s="2"/>
      <c r="D425" s="2" t="str">
        <f aca="false">IF(C425="","",IFERROR(INDEX('动作库 Exercises'!$B:$B,MATCH(C425,'动作库 Exercises'!$A:$A,0)),"未找到ID"))</f>
        <v/>
      </c>
      <c r="E425" s="2"/>
      <c r="F425" s="2"/>
      <c r="G425" s="2"/>
      <c r="H425" s="2"/>
      <c r="I425" s="2"/>
    </row>
    <row r="426" customFormat="false" ht="15" hidden="false" customHeight="false" outlineLevel="0" collapsed="false">
      <c r="A426" s="2"/>
      <c r="B426" s="2"/>
      <c r="C426" s="2"/>
      <c r="D426" s="2" t="str">
        <f aca="false">IF(C426="","",IFERROR(INDEX('动作库 Exercises'!$B:$B,MATCH(C426,'动作库 Exercises'!$A:$A,0)),"未找到ID"))</f>
        <v/>
      </c>
      <c r="E426" s="2"/>
      <c r="F426" s="2"/>
      <c r="G426" s="2"/>
      <c r="H426" s="2"/>
      <c r="I426" s="2"/>
    </row>
    <row r="427" customFormat="false" ht="15" hidden="false" customHeight="false" outlineLevel="0" collapsed="false">
      <c r="A427" s="2"/>
      <c r="B427" s="2"/>
      <c r="C427" s="2"/>
      <c r="D427" s="2" t="str">
        <f aca="false">IF(C427="","",IFERROR(INDEX('动作库 Exercises'!$B:$B,MATCH(C427,'动作库 Exercises'!$A:$A,0)),"未找到ID"))</f>
        <v/>
      </c>
      <c r="E427" s="2"/>
      <c r="F427" s="2"/>
      <c r="G427" s="2"/>
      <c r="H427" s="2"/>
      <c r="I427" s="2"/>
    </row>
    <row r="428" customFormat="false" ht="15" hidden="false" customHeight="false" outlineLevel="0" collapsed="false">
      <c r="A428" s="2"/>
      <c r="B428" s="2"/>
      <c r="C428" s="2"/>
      <c r="D428" s="2" t="str">
        <f aca="false">IF(C428="","",IFERROR(INDEX('动作库 Exercises'!$B:$B,MATCH(C428,'动作库 Exercises'!$A:$A,0)),"未找到ID"))</f>
        <v/>
      </c>
      <c r="E428" s="2"/>
      <c r="F428" s="2"/>
      <c r="G428" s="2"/>
      <c r="H428" s="2"/>
      <c r="I428" s="2"/>
    </row>
    <row r="429" customFormat="false" ht="15" hidden="false" customHeight="false" outlineLevel="0" collapsed="false">
      <c r="A429" s="2"/>
      <c r="B429" s="2"/>
      <c r="C429" s="2"/>
      <c r="D429" s="2" t="str">
        <f aca="false">IF(C429="","",IFERROR(INDEX('动作库 Exercises'!$B:$B,MATCH(C429,'动作库 Exercises'!$A:$A,0)),"未找到ID"))</f>
        <v/>
      </c>
      <c r="E429" s="2"/>
      <c r="F429" s="2"/>
      <c r="G429" s="2"/>
      <c r="H429" s="2"/>
      <c r="I429" s="2"/>
    </row>
    <row r="430" customFormat="false" ht="15" hidden="false" customHeight="false" outlineLevel="0" collapsed="false">
      <c r="A430" s="2"/>
      <c r="B430" s="2"/>
      <c r="C430" s="2"/>
      <c r="D430" s="2" t="str">
        <f aca="false">IF(C430="","",IFERROR(INDEX('动作库 Exercises'!$B:$B,MATCH(C430,'动作库 Exercises'!$A:$A,0)),"未找到ID"))</f>
        <v/>
      </c>
      <c r="E430" s="2"/>
      <c r="F430" s="2"/>
      <c r="G430" s="2"/>
      <c r="H430" s="2"/>
      <c r="I430" s="2"/>
    </row>
    <row r="431" customFormat="false" ht="15" hidden="false" customHeight="false" outlineLevel="0" collapsed="false">
      <c r="A431" s="2"/>
      <c r="B431" s="2"/>
      <c r="C431" s="2"/>
      <c r="D431" s="2" t="str">
        <f aca="false">IF(C431="","",IFERROR(INDEX('动作库 Exercises'!$B:$B,MATCH(C431,'动作库 Exercises'!$A:$A,0)),"未找到ID"))</f>
        <v/>
      </c>
      <c r="E431" s="2"/>
      <c r="F431" s="2"/>
      <c r="G431" s="2"/>
      <c r="H431" s="2"/>
      <c r="I431" s="2"/>
    </row>
    <row r="432" customFormat="false" ht="15" hidden="false" customHeight="false" outlineLevel="0" collapsed="false">
      <c r="A432" s="2"/>
      <c r="B432" s="2"/>
      <c r="C432" s="2"/>
      <c r="D432" s="2" t="str">
        <f aca="false">IF(C432="","",IFERROR(INDEX('动作库 Exercises'!$B:$B,MATCH(C432,'动作库 Exercises'!$A:$A,0)),"未找到ID"))</f>
        <v/>
      </c>
      <c r="E432" s="2"/>
      <c r="F432" s="2"/>
      <c r="G432" s="2"/>
      <c r="H432" s="2"/>
      <c r="I432" s="2"/>
    </row>
    <row r="433" customFormat="false" ht="15" hidden="false" customHeight="false" outlineLevel="0" collapsed="false">
      <c r="A433" s="2"/>
      <c r="B433" s="2"/>
      <c r="C433" s="2"/>
      <c r="D433" s="2" t="str">
        <f aca="false">IF(C433="","",IFERROR(INDEX('动作库 Exercises'!$B:$B,MATCH(C433,'动作库 Exercises'!$A:$A,0)),"未找到ID"))</f>
        <v/>
      </c>
      <c r="E433" s="2"/>
      <c r="F433" s="2"/>
      <c r="G433" s="2"/>
      <c r="H433" s="2"/>
      <c r="I433" s="2"/>
    </row>
    <row r="434" customFormat="false" ht="15" hidden="false" customHeight="false" outlineLevel="0" collapsed="false">
      <c r="A434" s="2"/>
      <c r="B434" s="2"/>
      <c r="C434" s="2"/>
      <c r="D434" s="2" t="str">
        <f aca="false">IF(C434="","",IFERROR(INDEX('动作库 Exercises'!$B:$B,MATCH(C434,'动作库 Exercises'!$A:$A,0)),"未找到ID"))</f>
        <v/>
      </c>
      <c r="E434" s="2"/>
      <c r="F434" s="2"/>
      <c r="G434" s="2"/>
      <c r="H434" s="2"/>
      <c r="I434" s="2"/>
    </row>
    <row r="435" customFormat="false" ht="15" hidden="false" customHeight="false" outlineLevel="0" collapsed="false">
      <c r="A435" s="2"/>
      <c r="B435" s="2"/>
      <c r="C435" s="2"/>
      <c r="D435" s="2" t="str">
        <f aca="false">IF(C435="","",IFERROR(INDEX('动作库 Exercises'!$B:$B,MATCH(C435,'动作库 Exercises'!$A:$A,0)),"未找到ID"))</f>
        <v/>
      </c>
      <c r="E435" s="2"/>
      <c r="F435" s="2"/>
      <c r="G435" s="2"/>
      <c r="H435" s="2"/>
      <c r="I435" s="2"/>
    </row>
    <row r="436" customFormat="false" ht="15" hidden="false" customHeight="false" outlineLevel="0" collapsed="false">
      <c r="A436" s="2"/>
      <c r="B436" s="2"/>
      <c r="C436" s="2"/>
      <c r="D436" s="2" t="str">
        <f aca="false">IF(C436="","",IFERROR(INDEX('动作库 Exercises'!$B:$B,MATCH(C436,'动作库 Exercises'!$A:$A,0)),"未找到ID"))</f>
        <v/>
      </c>
      <c r="E436" s="2"/>
      <c r="F436" s="2"/>
      <c r="G436" s="2"/>
      <c r="H436" s="2"/>
      <c r="I436" s="2"/>
    </row>
    <row r="437" customFormat="false" ht="15" hidden="false" customHeight="false" outlineLevel="0" collapsed="false">
      <c r="A437" s="2"/>
      <c r="B437" s="2"/>
      <c r="C437" s="2"/>
      <c r="D437" s="2" t="str">
        <f aca="false">IF(C437="","",IFERROR(INDEX('动作库 Exercises'!$B:$B,MATCH(C437,'动作库 Exercises'!$A:$A,0)),"未找到ID"))</f>
        <v/>
      </c>
      <c r="E437" s="2"/>
      <c r="F437" s="2"/>
      <c r="G437" s="2"/>
      <c r="H437" s="2"/>
      <c r="I437" s="2"/>
    </row>
    <row r="438" customFormat="false" ht="15" hidden="false" customHeight="false" outlineLevel="0" collapsed="false">
      <c r="A438" s="2"/>
      <c r="B438" s="2"/>
      <c r="C438" s="2"/>
      <c r="D438" s="2" t="str">
        <f aca="false">IF(C438="","",IFERROR(INDEX('动作库 Exercises'!$B:$B,MATCH(C438,'动作库 Exercises'!$A:$A,0)),"未找到ID"))</f>
        <v/>
      </c>
      <c r="E438" s="2"/>
      <c r="F438" s="2"/>
      <c r="G438" s="2"/>
      <c r="H438" s="2"/>
      <c r="I438" s="2"/>
    </row>
    <row r="439" customFormat="false" ht="15" hidden="false" customHeight="false" outlineLevel="0" collapsed="false">
      <c r="A439" s="2"/>
      <c r="B439" s="2"/>
      <c r="C439" s="2"/>
      <c r="D439" s="2" t="str">
        <f aca="false">IF(C439="","",IFERROR(INDEX('动作库 Exercises'!$B:$B,MATCH(C439,'动作库 Exercises'!$A:$A,0)),"未找到ID"))</f>
        <v/>
      </c>
      <c r="E439" s="2"/>
      <c r="F439" s="2"/>
      <c r="G439" s="2"/>
      <c r="H439" s="2"/>
      <c r="I439" s="2"/>
    </row>
    <row r="440" customFormat="false" ht="15" hidden="false" customHeight="false" outlineLevel="0" collapsed="false">
      <c r="A440" s="2"/>
      <c r="B440" s="2"/>
      <c r="C440" s="2"/>
      <c r="D440" s="2" t="str">
        <f aca="false">IF(C440="","",IFERROR(INDEX('动作库 Exercises'!$B:$B,MATCH(C440,'动作库 Exercises'!$A:$A,0)),"未找到ID"))</f>
        <v/>
      </c>
      <c r="E440" s="2"/>
      <c r="F440" s="2"/>
      <c r="G440" s="2"/>
      <c r="H440" s="2"/>
      <c r="I440" s="2"/>
    </row>
    <row r="441" customFormat="false" ht="15" hidden="false" customHeight="false" outlineLevel="0" collapsed="false">
      <c r="A441" s="2"/>
      <c r="B441" s="2"/>
      <c r="C441" s="2"/>
      <c r="D441" s="2" t="str">
        <f aca="false">IF(C441="","",IFERROR(INDEX('动作库 Exercises'!$B:$B,MATCH(C441,'动作库 Exercises'!$A:$A,0)),"未找到ID"))</f>
        <v/>
      </c>
      <c r="E441" s="2"/>
      <c r="F441" s="2"/>
      <c r="G441" s="2"/>
      <c r="H441" s="2"/>
      <c r="I441" s="2"/>
    </row>
    <row r="442" customFormat="false" ht="15" hidden="false" customHeight="false" outlineLevel="0" collapsed="false">
      <c r="A442" s="2"/>
      <c r="B442" s="2"/>
      <c r="C442" s="2"/>
      <c r="D442" s="2" t="str">
        <f aca="false">IF(C442="","",IFERROR(INDEX('动作库 Exercises'!$B:$B,MATCH(C442,'动作库 Exercises'!$A:$A,0)),"未找到ID"))</f>
        <v/>
      </c>
      <c r="E442" s="2"/>
      <c r="F442" s="2"/>
      <c r="G442" s="2"/>
      <c r="H442" s="2"/>
      <c r="I442" s="2"/>
    </row>
    <row r="443" customFormat="false" ht="15" hidden="false" customHeight="false" outlineLevel="0" collapsed="false">
      <c r="A443" s="2"/>
      <c r="B443" s="2"/>
      <c r="C443" s="2"/>
      <c r="D443" s="2" t="str">
        <f aca="false">IF(C443="","",IFERROR(INDEX('动作库 Exercises'!$B:$B,MATCH(C443,'动作库 Exercises'!$A:$A,0)),"未找到ID"))</f>
        <v/>
      </c>
      <c r="E443" s="2"/>
      <c r="F443" s="2"/>
      <c r="G443" s="2"/>
      <c r="H443" s="2"/>
      <c r="I443" s="2"/>
    </row>
    <row r="444" customFormat="false" ht="15" hidden="false" customHeight="false" outlineLevel="0" collapsed="false">
      <c r="A444" s="2"/>
      <c r="B444" s="2"/>
      <c r="C444" s="2"/>
      <c r="D444" s="2" t="str">
        <f aca="false">IF(C444="","",IFERROR(INDEX('动作库 Exercises'!$B:$B,MATCH(C444,'动作库 Exercises'!$A:$A,0)),"未找到ID"))</f>
        <v/>
      </c>
      <c r="E444" s="2"/>
      <c r="F444" s="2"/>
      <c r="G444" s="2"/>
      <c r="H444" s="2"/>
      <c r="I444" s="2"/>
    </row>
    <row r="445" customFormat="false" ht="15" hidden="false" customHeight="false" outlineLevel="0" collapsed="false">
      <c r="A445" s="2"/>
      <c r="B445" s="2"/>
      <c r="C445" s="2"/>
      <c r="D445" s="2" t="str">
        <f aca="false">IF(C445="","",IFERROR(INDEX('动作库 Exercises'!$B:$B,MATCH(C445,'动作库 Exercises'!$A:$A,0)),"未找到ID"))</f>
        <v/>
      </c>
      <c r="E445" s="2"/>
      <c r="F445" s="2"/>
      <c r="G445" s="2"/>
      <c r="H445" s="2"/>
      <c r="I445" s="2"/>
    </row>
    <row r="446" customFormat="false" ht="15" hidden="false" customHeight="false" outlineLevel="0" collapsed="false">
      <c r="A446" s="2"/>
      <c r="B446" s="2"/>
      <c r="C446" s="2"/>
      <c r="D446" s="2" t="str">
        <f aca="false">IF(C446="","",IFERROR(INDEX('动作库 Exercises'!$B:$B,MATCH(C446,'动作库 Exercises'!$A:$A,0)),"未找到ID"))</f>
        <v/>
      </c>
      <c r="E446" s="2"/>
      <c r="F446" s="2"/>
      <c r="G446" s="2"/>
      <c r="H446" s="2"/>
      <c r="I446" s="2"/>
    </row>
    <row r="447" customFormat="false" ht="15" hidden="false" customHeight="false" outlineLevel="0" collapsed="false">
      <c r="A447" s="2"/>
      <c r="B447" s="2"/>
      <c r="C447" s="2"/>
      <c r="D447" s="2" t="str">
        <f aca="false">IF(C447="","",IFERROR(INDEX('动作库 Exercises'!$B:$B,MATCH(C447,'动作库 Exercises'!$A:$A,0)),"未找到ID"))</f>
        <v/>
      </c>
      <c r="E447" s="2"/>
      <c r="F447" s="2"/>
      <c r="G447" s="2"/>
      <c r="H447" s="2"/>
      <c r="I447" s="2"/>
    </row>
    <row r="448" customFormat="false" ht="15" hidden="false" customHeight="false" outlineLevel="0" collapsed="false">
      <c r="A448" s="2"/>
      <c r="B448" s="2"/>
      <c r="C448" s="2"/>
      <c r="D448" s="2" t="str">
        <f aca="false">IF(C448="","",IFERROR(INDEX('动作库 Exercises'!$B:$B,MATCH(C448,'动作库 Exercises'!$A:$A,0)),"未找到ID"))</f>
        <v/>
      </c>
      <c r="E448" s="2"/>
      <c r="F448" s="2"/>
      <c r="G448" s="2"/>
      <c r="H448" s="2"/>
      <c r="I448" s="2"/>
    </row>
    <row r="449" customFormat="false" ht="15" hidden="false" customHeight="false" outlineLevel="0" collapsed="false">
      <c r="A449" s="2"/>
      <c r="B449" s="2"/>
      <c r="C449" s="2"/>
      <c r="D449" s="2" t="str">
        <f aca="false">IF(C449="","",IFERROR(INDEX('动作库 Exercises'!$B:$B,MATCH(C449,'动作库 Exercises'!$A:$A,0)),"未找到ID"))</f>
        <v/>
      </c>
      <c r="E449" s="2"/>
      <c r="F449" s="2"/>
      <c r="G449" s="2"/>
      <c r="H449" s="2"/>
      <c r="I449" s="2"/>
    </row>
    <row r="450" customFormat="false" ht="15" hidden="false" customHeight="false" outlineLevel="0" collapsed="false">
      <c r="A450" s="2"/>
      <c r="B450" s="2"/>
      <c r="C450" s="2"/>
      <c r="D450" s="2" t="str">
        <f aca="false">IF(C450="","",IFERROR(INDEX('动作库 Exercises'!$B:$B,MATCH(C450,'动作库 Exercises'!$A:$A,0)),"未找到ID"))</f>
        <v/>
      </c>
      <c r="E450" s="2"/>
      <c r="F450" s="2"/>
      <c r="G450" s="2"/>
      <c r="H450" s="2"/>
      <c r="I450" s="2"/>
    </row>
    <row r="451" customFormat="false" ht="15" hidden="false" customHeight="false" outlineLevel="0" collapsed="false">
      <c r="A451" s="2"/>
      <c r="B451" s="2"/>
      <c r="C451" s="2"/>
      <c r="D451" s="2" t="str">
        <f aca="false">IF(C451="","",IFERROR(INDEX('动作库 Exercises'!$B:$B,MATCH(C451,'动作库 Exercises'!$A:$A,0)),"未找到ID"))</f>
        <v/>
      </c>
      <c r="E451" s="2"/>
      <c r="F451" s="2"/>
      <c r="G451" s="2"/>
      <c r="H451" s="2"/>
      <c r="I451" s="2"/>
    </row>
    <row r="452" customFormat="false" ht="15" hidden="false" customHeight="false" outlineLevel="0" collapsed="false">
      <c r="A452" s="2"/>
      <c r="B452" s="2"/>
      <c r="C452" s="2"/>
      <c r="D452" s="2" t="str">
        <f aca="false">IF(C452="","",IFERROR(INDEX('动作库 Exercises'!$B:$B,MATCH(C452,'动作库 Exercises'!$A:$A,0)),"未找到ID"))</f>
        <v/>
      </c>
      <c r="E452" s="2"/>
      <c r="F452" s="2"/>
      <c r="G452" s="2"/>
      <c r="H452" s="2"/>
      <c r="I452" s="2"/>
    </row>
    <row r="453" customFormat="false" ht="15" hidden="false" customHeight="false" outlineLevel="0" collapsed="false">
      <c r="A453" s="2"/>
      <c r="B453" s="2"/>
      <c r="C453" s="2"/>
      <c r="D453" s="2" t="str">
        <f aca="false">IF(C453="","",IFERROR(INDEX('动作库 Exercises'!$B:$B,MATCH(C453,'动作库 Exercises'!$A:$A,0)),"未找到ID"))</f>
        <v/>
      </c>
      <c r="E453" s="2"/>
      <c r="F453" s="2"/>
      <c r="G453" s="2"/>
      <c r="H453" s="2"/>
      <c r="I453" s="2"/>
    </row>
    <row r="454" customFormat="false" ht="15" hidden="false" customHeight="false" outlineLevel="0" collapsed="false">
      <c r="A454" s="2"/>
      <c r="B454" s="2"/>
      <c r="C454" s="2"/>
      <c r="D454" s="2" t="str">
        <f aca="false">IF(C454="","",IFERROR(INDEX('动作库 Exercises'!$B:$B,MATCH(C454,'动作库 Exercises'!$A:$A,0)),"未找到ID"))</f>
        <v/>
      </c>
      <c r="E454" s="2"/>
      <c r="F454" s="2"/>
      <c r="G454" s="2"/>
      <c r="H454" s="2"/>
      <c r="I454" s="2"/>
    </row>
    <row r="455" customFormat="false" ht="15" hidden="false" customHeight="false" outlineLevel="0" collapsed="false">
      <c r="A455" s="2"/>
      <c r="B455" s="2"/>
      <c r="C455" s="2"/>
      <c r="D455" s="2" t="str">
        <f aca="false">IF(C455="","",IFERROR(INDEX('动作库 Exercises'!$B:$B,MATCH(C455,'动作库 Exercises'!$A:$A,0)),"未找到ID"))</f>
        <v/>
      </c>
      <c r="E455" s="2"/>
      <c r="F455" s="2"/>
      <c r="G455" s="2"/>
      <c r="H455" s="2"/>
      <c r="I455" s="2"/>
    </row>
    <row r="456" customFormat="false" ht="15" hidden="false" customHeight="false" outlineLevel="0" collapsed="false">
      <c r="A456" s="2"/>
      <c r="B456" s="2"/>
      <c r="C456" s="2"/>
      <c r="D456" s="2" t="str">
        <f aca="false">IF(C456="","",IFERROR(INDEX('动作库 Exercises'!$B:$B,MATCH(C456,'动作库 Exercises'!$A:$A,0)),"未找到ID"))</f>
        <v/>
      </c>
      <c r="E456" s="2"/>
      <c r="F456" s="2"/>
      <c r="G456" s="2"/>
      <c r="H456" s="2"/>
      <c r="I456" s="2"/>
    </row>
    <row r="457" customFormat="false" ht="15" hidden="false" customHeight="false" outlineLevel="0" collapsed="false">
      <c r="A457" s="2"/>
      <c r="B457" s="2"/>
      <c r="C457" s="2"/>
      <c r="D457" s="2" t="str">
        <f aca="false">IF(C457="","",IFERROR(INDEX('动作库 Exercises'!$B:$B,MATCH(C457,'动作库 Exercises'!$A:$A,0)),"未找到ID"))</f>
        <v/>
      </c>
      <c r="E457" s="2"/>
      <c r="F457" s="2"/>
      <c r="G457" s="2"/>
      <c r="H457" s="2"/>
      <c r="I457" s="2"/>
    </row>
    <row r="458" customFormat="false" ht="15" hidden="false" customHeight="false" outlineLevel="0" collapsed="false">
      <c r="A458" s="2"/>
      <c r="B458" s="2"/>
      <c r="C458" s="2"/>
      <c r="D458" s="2" t="str">
        <f aca="false">IF(C458="","",IFERROR(INDEX('动作库 Exercises'!$B:$B,MATCH(C458,'动作库 Exercises'!$A:$A,0)),"未找到ID"))</f>
        <v/>
      </c>
      <c r="E458" s="2"/>
      <c r="F458" s="2"/>
      <c r="G458" s="2"/>
      <c r="H458" s="2"/>
      <c r="I458" s="2"/>
    </row>
    <row r="459" customFormat="false" ht="15" hidden="false" customHeight="false" outlineLevel="0" collapsed="false">
      <c r="A459" s="2"/>
      <c r="B459" s="2"/>
      <c r="C459" s="2"/>
      <c r="D459" s="2" t="str">
        <f aca="false">IF(C459="","",IFERROR(INDEX('动作库 Exercises'!$B:$B,MATCH(C459,'动作库 Exercises'!$A:$A,0)),"未找到ID"))</f>
        <v/>
      </c>
      <c r="E459" s="2"/>
      <c r="F459" s="2"/>
      <c r="G459" s="2"/>
      <c r="H459" s="2"/>
      <c r="I459" s="2"/>
    </row>
    <row r="460" customFormat="false" ht="15" hidden="false" customHeight="false" outlineLevel="0" collapsed="false">
      <c r="A460" s="2"/>
      <c r="B460" s="2"/>
      <c r="C460" s="2"/>
      <c r="D460" s="2" t="str">
        <f aca="false">IF(C460="","",IFERROR(INDEX('动作库 Exercises'!$B:$B,MATCH(C460,'动作库 Exercises'!$A:$A,0)),"未找到ID"))</f>
        <v/>
      </c>
      <c r="E460" s="2"/>
      <c r="F460" s="2"/>
      <c r="G460" s="2"/>
      <c r="H460" s="2"/>
      <c r="I460" s="2"/>
    </row>
    <row r="461" customFormat="false" ht="15" hidden="false" customHeight="false" outlineLevel="0" collapsed="false">
      <c r="A461" s="2"/>
      <c r="B461" s="2"/>
      <c r="C461" s="2"/>
      <c r="D461" s="2" t="str">
        <f aca="false">IF(C461="","",IFERROR(INDEX('动作库 Exercises'!$B:$B,MATCH(C461,'动作库 Exercises'!$A:$A,0)),"未找到ID"))</f>
        <v/>
      </c>
      <c r="E461" s="2"/>
      <c r="F461" s="2"/>
      <c r="G461" s="2"/>
      <c r="H461" s="2"/>
      <c r="I461" s="2"/>
    </row>
    <row r="462" customFormat="false" ht="15" hidden="false" customHeight="false" outlineLevel="0" collapsed="false">
      <c r="A462" s="2"/>
      <c r="B462" s="2"/>
      <c r="C462" s="2"/>
      <c r="D462" s="2" t="str">
        <f aca="false">IF(C462="","",IFERROR(INDEX('动作库 Exercises'!$B:$B,MATCH(C462,'动作库 Exercises'!$A:$A,0)),"未找到ID"))</f>
        <v/>
      </c>
      <c r="E462" s="2"/>
      <c r="F462" s="2"/>
      <c r="G462" s="2"/>
      <c r="H462" s="2"/>
      <c r="I462" s="2"/>
    </row>
    <row r="463" customFormat="false" ht="15" hidden="false" customHeight="false" outlineLevel="0" collapsed="false">
      <c r="A463" s="2"/>
      <c r="B463" s="2"/>
      <c r="C463" s="2"/>
      <c r="D463" s="2" t="str">
        <f aca="false">IF(C463="","",IFERROR(INDEX('动作库 Exercises'!$B:$B,MATCH(C463,'动作库 Exercises'!$A:$A,0)),"未找到ID"))</f>
        <v/>
      </c>
      <c r="E463" s="2"/>
      <c r="F463" s="2"/>
      <c r="G463" s="2"/>
      <c r="H463" s="2"/>
      <c r="I463" s="2"/>
    </row>
    <row r="464" customFormat="false" ht="15" hidden="false" customHeight="false" outlineLevel="0" collapsed="false">
      <c r="A464" s="2"/>
      <c r="B464" s="2"/>
      <c r="C464" s="2"/>
      <c r="D464" s="2" t="str">
        <f aca="false">IF(C464="","",IFERROR(INDEX('动作库 Exercises'!$B:$B,MATCH(C464,'动作库 Exercises'!$A:$A,0)),"未找到ID"))</f>
        <v/>
      </c>
      <c r="E464" s="2"/>
      <c r="F464" s="2"/>
      <c r="G464" s="2"/>
      <c r="H464" s="2"/>
      <c r="I464" s="2"/>
    </row>
    <row r="465" customFormat="false" ht="15" hidden="false" customHeight="false" outlineLevel="0" collapsed="false">
      <c r="A465" s="2"/>
      <c r="B465" s="2"/>
      <c r="C465" s="2"/>
      <c r="D465" s="2" t="str">
        <f aca="false">IF(C465="","",IFERROR(INDEX('动作库 Exercises'!$B:$B,MATCH(C465,'动作库 Exercises'!$A:$A,0)),"未找到ID"))</f>
        <v/>
      </c>
      <c r="E465" s="2"/>
      <c r="F465" s="2"/>
      <c r="G465" s="2"/>
      <c r="H465" s="2"/>
      <c r="I465" s="2"/>
    </row>
    <row r="466" customFormat="false" ht="15" hidden="false" customHeight="false" outlineLevel="0" collapsed="false">
      <c r="A466" s="2"/>
      <c r="B466" s="2"/>
      <c r="C466" s="2"/>
      <c r="D466" s="2" t="str">
        <f aca="false">IF(C466="","",IFERROR(INDEX('动作库 Exercises'!$B:$B,MATCH(C466,'动作库 Exercises'!$A:$A,0)),"未找到ID"))</f>
        <v/>
      </c>
      <c r="E466" s="2"/>
      <c r="F466" s="2"/>
      <c r="G466" s="2"/>
      <c r="H466" s="2"/>
      <c r="I466" s="2"/>
    </row>
    <row r="467" customFormat="false" ht="15" hidden="false" customHeight="false" outlineLevel="0" collapsed="false">
      <c r="A467" s="2"/>
      <c r="B467" s="2"/>
      <c r="C467" s="2"/>
      <c r="D467" s="2" t="str">
        <f aca="false">IF(C467="","",IFERROR(INDEX('动作库 Exercises'!$B:$B,MATCH(C467,'动作库 Exercises'!$A:$A,0)),"未找到ID"))</f>
        <v/>
      </c>
      <c r="E467" s="2"/>
      <c r="F467" s="2"/>
      <c r="G467" s="2"/>
      <c r="H467" s="2"/>
      <c r="I467" s="2"/>
    </row>
    <row r="468" customFormat="false" ht="15" hidden="false" customHeight="false" outlineLevel="0" collapsed="false">
      <c r="A468" s="2"/>
      <c r="B468" s="2"/>
      <c r="C468" s="2"/>
      <c r="D468" s="2" t="str">
        <f aca="false">IF(C468="","",IFERROR(INDEX('动作库 Exercises'!$B:$B,MATCH(C468,'动作库 Exercises'!$A:$A,0)),"未找到ID"))</f>
        <v/>
      </c>
      <c r="E468" s="2"/>
      <c r="F468" s="2"/>
      <c r="G468" s="2"/>
      <c r="H468" s="2"/>
      <c r="I468" s="2"/>
    </row>
    <row r="469" customFormat="false" ht="15" hidden="false" customHeight="false" outlineLevel="0" collapsed="false">
      <c r="A469" s="2"/>
      <c r="B469" s="2"/>
      <c r="C469" s="2"/>
      <c r="D469" s="2" t="str">
        <f aca="false">IF(C469="","",IFERROR(INDEX('动作库 Exercises'!$B:$B,MATCH(C469,'动作库 Exercises'!$A:$A,0)),"未找到ID"))</f>
        <v/>
      </c>
      <c r="E469" s="2"/>
      <c r="F469" s="2"/>
      <c r="G469" s="2"/>
      <c r="H469" s="2"/>
      <c r="I469" s="2"/>
    </row>
    <row r="470" customFormat="false" ht="15" hidden="false" customHeight="false" outlineLevel="0" collapsed="false">
      <c r="A470" s="2"/>
      <c r="B470" s="2"/>
      <c r="C470" s="2"/>
      <c r="D470" s="2" t="str">
        <f aca="false">IF(C470="","",IFERROR(INDEX('动作库 Exercises'!$B:$B,MATCH(C470,'动作库 Exercises'!$A:$A,0)),"未找到ID"))</f>
        <v/>
      </c>
      <c r="E470" s="2"/>
      <c r="F470" s="2"/>
      <c r="G470" s="2"/>
      <c r="H470" s="2"/>
      <c r="I470" s="2"/>
    </row>
    <row r="471" customFormat="false" ht="15" hidden="false" customHeight="false" outlineLevel="0" collapsed="false">
      <c r="A471" s="2"/>
      <c r="B471" s="2"/>
      <c r="C471" s="2"/>
      <c r="D471" s="2" t="str">
        <f aca="false">IF(C471="","",IFERROR(INDEX('动作库 Exercises'!$B:$B,MATCH(C471,'动作库 Exercises'!$A:$A,0)),"未找到ID"))</f>
        <v/>
      </c>
      <c r="E471" s="2"/>
      <c r="F471" s="2"/>
      <c r="G471" s="2"/>
      <c r="H471" s="2"/>
      <c r="I471" s="2"/>
    </row>
    <row r="472" customFormat="false" ht="15" hidden="false" customHeight="false" outlineLevel="0" collapsed="false">
      <c r="A472" s="2"/>
      <c r="B472" s="2"/>
      <c r="C472" s="2"/>
      <c r="D472" s="2" t="str">
        <f aca="false">IF(C472="","",IFERROR(INDEX('动作库 Exercises'!$B:$B,MATCH(C472,'动作库 Exercises'!$A:$A,0)),"未找到ID"))</f>
        <v/>
      </c>
      <c r="E472" s="2"/>
      <c r="F472" s="2"/>
      <c r="G472" s="2"/>
      <c r="H472" s="2"/>
      <c r="I472" s="2"/>
    </row>
    <row r="473" customFormat="false" ht="15" hidden="false" customHeight="false" outlineLevel="0" collapsed="false">
      <c r="A473" s="2"/>
      <c r="B473" s="2"/>
      <c r="C473" s="2"/>
      <c r="D473" s="2" t="str">
        <f aca="false">IF(C473="","",IFERROR(INDEX('动作库 Exercises'!$B:$B,MATCH(C473,'动作库 Exercises'!$A:$A,0)),"未找到ID"))</f>
        <v/>
      </c>
      <c r="E473" s="2"/>
      <c r="F473" s="2"/>
      <c r="G473" s="2"/>
      <c r="H473" s="2"/>
      <c r="I473" s="2"/>
    </row>
    <row r="474" customFormat="false" ht="15" hidden="false" customHeight="false" outlineLevel="0" collapsed="false">
      <c r="A474" s="2"/>
      <c r="B474" s="2"/>
      <c r="C474" s="2"/>
      <c r="D474" s="2" t="str">
        <f aca="false">IF(C474="","",IFERROR(INDEX('动作库 Exercises'!$B:$B,MATCH(C474,'动作库 Exercises'!$A:$A,0)),"未找到ID"))</f>
        <v/>
      </c>
      <c r="E474" s="2"/>
      <c r="F474" s="2"/>
      <c r="G474" s="2"/>
      <c r="H474" s="2"/>
      <c r="I474" s="2"/>
    </row>
    <row r="475" customFormat="false" ht="15" hidden="false" customHeight="false" outlineLevel="0" collapsed="false">
      <c r="A475" s="2"/>
      <c r="B475" s="2"/>
      <c r="C475" s="2"/>
      <c r="D475" s="2" t="str">
        <f aca="false">IF(C475="","",IFERROR(INDEX('动作库 Exercises'!$B:$B,MATCH(C475,'动作库 Exercises'!$A:$A,0)),"未找到ID"))</f>
        <v/>
      </c>
      <c r="E475" s="2"/>
      <c r="F475" s="2"/>
      <c r="G475" s="2"/>
      <c r="H475" s="2"/>
      <c r="I475" s="2"/>
    </row>
    <row r="476" customFormat="false" ht="15" hidden="false" customHeight="false" outlineLevel="0" collapsed="false">
      <c r="A476" s="2"/>
      <c r="B476" s="2"/>
      <c r="C476" s="2"/>
      <c r="D476" s="2" t="str">
        <f aca="false">IF(C476="","",IFERROR(INDEX('动作库 Exercises'!$B:$B,MATCH(C476,'动作库 Exercises'!$A:$A,0)),"未找到ID"))</f>
        <v/>
      </c>
      <c r="E476" s="2"/>
      <c r="F476" s="2"/>
      <c r="G476" s="2"/>
      <c r="H476" s="2"/>
      <c r="I476" s="2"/>
    </row>
    <row r="477" customFormat="false" ht="15" hidden="false" customHeight="false" outlineLevel="0" collapsed="false">
      <c r="A477" s="2"/>
      <c r="B477" s="2"/>
      <c r="C477" s="2"/>
      <c r="D477" s="2" t="str">
        <f aca="false">IF(C477="","",IFERROR(INDEX('动作库 Exercises'!$B:$B,MATCH(C477,'动作库 Exercises'!$A:$A,0)),"未找到ID"))</f>
        <v/>
      </c>
      <c r="E477" s="2"/>
      <c r="F477" s="2"/>
      <c r="G477" s="2"/>
      <c r="H477" s="2"/>
      <c r="I477" s="2"/>
    </row>
    <row r="478" customFormat="false" ht="15" hidden="false" customHeight="false" outlineLevel="0" collapsed="false">
      <c r="A478" s="2"/>
      <c r="B478" s="2"/>
      <c r="C478" s="2"/>
      <c r="D478" s="2" t="str">
        <f aca="false">IF(C478="","",IFERROR(INDEX('动作库 Exercises'!$B:$B,MATCH(C478,'动作库 Exercises'!$A:$A,0)),"未找到ID"))</f>
        <v/>
      </c>
      <c r="E478" s="2"/>
      <c r="F478" s="2"/>
      <c r="G478" s="2"/>
      <c r="H478" s="2"/>
      <c r="I478" s="2"/>
    </row>
    <row r="479" customFormat="false" ht="15" hidden="false" customHeight="false" outlineLevel="0" collapsed="false">
      <c r="A479" s="2"/>
      <c r="B479" s="2"/>
      <c r="C479" s="2"/>
      <c r="D479" s="2" t="str">
        <f aca="false">IF(C479="","",IFERROR(INDEX('动作库 Exercises'!$B:$B,MATCH(C479,'动作库 Exercises'!$A:$A,0)),"未找到ID"))</f>
        <v/>
      </c>
      <c r="E479" s="2"/>
      <c r="F479" s="2"/>
      <c r="G479" s="2"/>
      <c r="H479" s="2"/>
      <c r="I479" s="2"/>
    </row>
    <row r="480" customFormat="false" ht="15" hidden="false" customHeight="false" outlineLevel="0" collapsed="false">
      <c r="A480" s="2"/>
      <c r="B480" s="2"/>
      <c r="C480" s="2"/>
      <c r="D480" s="2" t="str">
        <f aca="false">IF(C480="","",IFERROR(INDEX('动作库 Exercises'!$B:$B,MATCH(C480,'动作库 Exercises'!$A:$A,0)),"未找到ID"))</f>
        <v/>
      </c>
      <c r="E480" s="2"/>
      <c r="F480" s="2"/>
      <c r="G480" s="2"/>
      <c r="H480" s="2"/>
      <c r="I480" s="2"/>
    </row>
    <row r="481" customFormat="false" ht="15" hidden="false" customHeight="false" outlineLevel="0" collapsed="false">
      <c r="A481" s="2"/>
      <c r="B481" s="2"/>
      <c r="C481" s="2"/>
      <c r="D481" s="2" t="str">
        <f aca="false">IF(C481="","",IFERROR(INDEX('动作库 Exercises'!$B:$B,MATCH(C481,'动作库 Exercises'!$A:$A,0)),"未找到ID"))</f>
        <v/>
      </c>
      <c r="E481" s="2"/>
      <c r="F481" s="2"/>
      <c r="G481" s="2"/>
      <c r="H481" s="2"/>
      <c r="I481" s="2"/>
    </row>
    <row r="482" customFormat="false" ht="15" hidden="false" customHeight="false" outlineLevel="0" collapsed="false">
      <c r="A482" s="2"/>
      <c r="B482" s="2"/>
      <c r="C482" s="2"/>
      <c r="D482" s="2" t="str">
        <f aca="false">IF(C482="","",IFERROR(INDEX('动作库 Exercises'!$B:$B,MATCH(C482,'动作库 Exercises'!$A:$A,0)),"未找到ID"))</f>
        <v/>
      </c>
      <c r="E482" s="2"/>
      <c r="F482" s="2"/>
      <c r="G482" s="2"/>
      <c r="H482" s="2"/>
      <c r="I482" s="2"/>
    </row>
    <row r="483" customFormat="false" ht="15" hidden="false" customHeight="false" outlineLevel="0" collapsed="false">
      <c r="A483" s="2"/>
      <c r="B483" s="2"/>
      <c r="C483" s="2"/>
      <c r="D483" s="2" t="str">
        <f aca="false">IF(C483="","",IFERROR(INDEX('动作库 Exercises'!$B:$B,MATCH(C483,'动作库 Exercises'!$A:$A,0)),"未找到ID"))</f>
        <v/>
      </c>
      <c r="E483" s="2"/>
      <c r="F483" s="2"/>
      <c r="G483" s="2"/>
      <c r="H483" s="2"/>
      <c r="I483" s="2"/>
    </row>
    <row r="484" customFormat="false" ht="15" hidden="false" customHeight="false" outlineLevel="0" collapsed="false">
      <c r="A484" s="2"/>
      <c r="B484" s="2"/>
      <c r="C484" s="2"/>
      <c r="D484" s="2" t="str">
        <f aca="false">IF(C484="","",IFERROR(INDEX('动作库 Exercises'!$B:$B,MATCH(C484,'动作库 Exercises'!$A:$A,0)),"未找到ID"))</f>
        <v/>
      </c>
      <c r="E484" s="2"/>
      <c r="F484" s="2"/>
      <c r="G484" s="2"/>
      <c r="H484" s="2"/>
      <c r="I484" s="2"/>
    </row>
    <row r="485" customFormat="false" ht="15" hidden="false" customHeight="false" outlineLevel="0" collapsed="false">
      <c r="A485" s="2"/>
      <c r="B485" s="2"/>
      <c r="C485" s="2"/>
      <c r="D485" s="2" t="str">
        <f aca="false">IF(C485="","",IFERROR(INDEX('动作库 Exercises'!$B:$B,MATCH(C485,'动作库 Exercises'!$A:$A,0)),"未找到ID"))</f>
        <v/>
      </c>
      <c r="E485" s="2"/>
      <c r="F485" s="2"/>
      <c r="G485" s="2"/>
      <c r="H485" s="2"/>
      <c r="I485" s="2"/>
    </row>
    <row r="486" customFormat="false" ht="15" hidden="false" customHeight="false" outlineLevel="0" collapsed="false">
      <c r="A486" s="2"/>
      <c r="B486" s="2"/>
      <c r="C486" s="2"/>
      <c r="D486" s="2" t="str">
        <f aca="false">IF(C486="","",IFERROR(INDEX('动作库 Exercises'!$B:$B,MATCH(C486,'动作库 Exercises'!$A:$A,0)),"未找到ID"))</f>
        <v/>
      </c>
      <c r="E486" s="2"/>
      <c r="F486" s="2"/>
      <c r="G486" s="2"/>
      <c r="H486" s="2"/>
      <c r="I486" s="2"/>
    </row>
    <row r="487" customFormat="false" ht="15" hidden="false" customHeight="false" outlineLevel="0" collapsed="false">
      <c r="A487" s="2"/>
      <c r="B487" s="2"/>
      <c r="C487" s="2"/>
      <c r="D487" s="2" t="str">
        <f aca="false">IF(C487="","",IFERROR(INDEX('动作库 Exercises'!$B:$B,MATCH(C487,'动作库 Exercises'!$A:$A,0)),"未找到ID"))</f>
        <v/>
      </c>
      <c r="E487" s="2"/>
      <c r="F487" s="2"/>
      <c r="G487" s="2"/>
      <c r="H487" s="2"/>
      <c r="I487" s="2"/>
    </row>
    <row r="488" customFormat="false" ht="15" hidden="false" customHeight="false" outlineLevel="0" collapsed="false">
      <c r="A488" s="2"/>
      <c r="B488" s="2"/>
      <c r="C488" s="2"/>
      <c r="D488" s="2" t="str">
        <f aca="false">IF(C488="","",IFERROR(INDEX('动作库 Exercises'!$B:$B,MATCH(C488,'动作库 Exercises'!$A:$A,0)),"未找到ID"))</f>
        <v/>
      </c>
      <c r="E488" s="2"/>
      <c r="F488" s="2"/>
      <c r="G488" s="2"/>
      <c r="H488" s="2"/>
      <c r="I488" s="2"/>
    </row>
    <row r="489" customFormat="false" ht="15" hidden="false" customHeight="false" outlineLevel="0" collapsed="false">
      <c r="A489" s="2"/>
      <c r="B489" s="2"/>
      <c r="C489" s="2"/>
      <c r="D489" s="2" t="str">
        <f aca="false">IF(C489="","",IFERROR(INDEX('动作库 Exercises'!$B:$B,MATCH(C489,'动作库 Exercises'!$A:$A,0)),"未找到ID"))</f>
        <v/>
      </c>
      <c r="E489" s="2"/>
      <c r="F489" s="2"/>
      <c r="G489" s="2"/>
      <c r="H489" s="2"/>
      <c r="I489" s="2"/>
    </row>
    <row r="490" customFormat="false" ht="15" hidden="false" customHeight="false" outlineLevel="0" collapsed="false">
      <c r="A490" s="2"/>
      <c r="B490" s="2"/>
      <c r="C490" s="2"/>
      <c r="D490" s="2" t="str">
        <f aca="false">IF(C490="","",IFERROR(INDEX('动作库 Exercises'!$B:$B,MATCH(C490,'动作库 Exercises'!$A:$A,0)),"未找到ID"))</f>
        <v/>
      </c>
      <c r="E490" s="2"/>
      <c r="F490" s="2"/>
      <c r="G490" s="2"/>
      <c r="H490" s="2"/>
      <c r="I490" s="2"/>
    </row>
    <row r="491" customFormat="false" ht="15" hidden="false" customHeight="false" outlineLevel="0" collapsed="false">
      <c r="A491" s="2"/>
      <c r="B491" s="2"/>
      <c r="C491" s="2"/>
      <c r="D491" s="2" t="str">
        <f aca="false">IF(C491="","",IFERROR(INDEX('动作库 Exercises'!$B:$B,MATCH(C491,'动作库 Exercises'!$A:$A,0)),"未找到ID"))</f>
        <v/>
      </c>
      <c r="E491" s="2"/>
      <c r="F491" s="2"/>
      <c r="G491" s="2"/>
      <c r="H491" s="2"/>
      <c r="I491" s="2"/>
    </row>
    <row r="492" customFormat="false" ht="15" hidden="false" customHeight="false" outlineLevel="0" collapsed="false">
      <c r="A492" s="2"/>
      <c r="B492" s="2"/>
      <c r="C492" s="2"/>
      <c r="D492" s="2" t="str">
        <f aca="false">IF(C492="","",IFERROR(INDEX('动作库 Exercises'!$B:$B,MATCH(C492,'动作库 Exercises'!$A:$A,0)),"未找到ID"))</f>
        <v/>
      </c>
      <c r="E492" s="2"/>
      <c r="F492" s="2"/>
      <c r="G492" s="2"/>
      <c r="H492" s="2"/>
      <c r="I492" s="2"/>
    </row>
    <row r="493" customFormat="false" ht="15" hidden="false" customHeight="false" outlineLevel="0" collapsed="false">
      <c r="A493" s="2"/>
      <c r="B493" s="2"/>
      <c r="C493" s="2"/>
      <c r="D493" s="2" t="str">
        <f aca="false">IF(C493="","",IFERROR(INDEX('动作库 Exercises'!$B:$B,MATCH(C493,'动作库 Exercises'!$A:$A,0)),"未找到ID"))</f>
        <v/>
      </c>
      <c r="E493" s="2"/>
      <c r="F493" s="2"/>
      <c r="G493" s="2"/>
      <c r="H493" s="2"/>
      <c r="I493" s="2"/>
    </row>
    <row r="494" customFormat="false" ht="15" hidden="false" customHeight="false" outlineLevel="0" collapsed="false">
      <c r="A494" s="2"/>
      <c r="B494" s="2"/>
      <c r="C494" s="2"/>
      <c r="D494" s="2" t="str">
        <f aca="false">IF(C494="","",IFERROR(INDEX('动作库 Exercises'!$B:$B,MATCH(C494,'动作库 Exercises'!$A:$A,0)),"未找到ID"))</f>
        <v/>
      </c>
      <c r="E494" s="2"/>
      <c r="F494" s="2"/>
      <c r="G494" s="2"/>
      <c r="H494" s="2"/>
      <c r="I494" s="2"/>
    </row>
    <row r="495" customFormat="false" ht="15" hidden="false" customHeight="false" outlineLevel="0" collapsed="false">
      <c r="A495" s="2"/>
      <c r="B495" s="2"/>
      <c r="C495" s="2"/>
      <c r="D495" s="2" t="str">
        <f aca="false">IF(C495="","",IFERROR(INDEX('动作库 Exercises'!$B:$B,MATCH(C495,'动作库 Exercises'!$A:$A,0)),"未找到ID"))</f>
        <v/>
      </c>
      <c r="E495" s="2"/>
      <c r="F495" s="2"/>
      <c r="G495" s="2"/>
      <c r="H495" s="2"/>
      <c r="I495" s="2"/>
    </row>
    <row r="496" customFormat="false" ht="15" hidden="false" customHeight="false" outlineLevel="0" collapsed="false">
      <c r="A496" s="2"/>
      <c r="B496" s="2"/>
      <c r="C496" s="2"/>
      <c r="D496" s="2" t="str">
        <f aca="false">IF(C496="","",IFERROR(INDEX('动作库 Exercises'!$B:$B,MATCH(C496,'动作库 Exercises'!$A:$A,0)),"未找到ID"))</f>
        <v/>
      </c>
      <c r="E496" s="2"/>
      <c r="F496" s="2"/>
      <c r="G496" s="2"/>
      <c r="H496" s="2"/>
      <c r="I496" s="2"/>
    </row>
    <row r="497" customFormat="false" ht="15" hidden="false" customHeight="false" outlineLevel="0" collapsed="false">
      <c r="A497" s="2"/>
      <c r="B497" s="2"/>
      <c r="C497" s="2"/>
      <c r="D497" s="2" t="str">
        <f aca="false">IF(C497="","",IFERROR(INDEX('动作库 Exercises'!$B:$B,MATCH(C497,'动作库 Exercises'!$A:$A,0)),"未找到ID"))</f>
        <v/>
      </c>
      <c r="E497" s="2"/>
      <c r="F497" s="2"/>
      <c r="G497" s="2"/>
      <c r="H497" s="2"/>
      <c r="I497" s="2"/>
    </row>
    <row r="498" customFormat="false" ht="15" hidden="false" customHeight="false" outlineLevel="0" collapsed="false">
      <c r="A498" s="2"/>
      <c r="B498" s="2"/>
      <c r="C498" s="2"/>
      <c r="D498" s="2" t="str">
        <f aca="false">IF(C498="","",IFERROR(INDEX('动作库 Exercises'!$B:$B,MATCH(C498,'动作库 Exercises'!$A:$A,0)),"未找到ID"))</f>
        <v/>
      </c>
      <c r="E498" s="2"/>
      <c r="F498" s="2"/>
      <c r="G498" s="2"/>
      <c r="H498" s="2"/>
      <c r="I498" s="2"/>
    </row>
    <row r="499" customFormat="false" ht="15" hidden="false" customHeight="false" outlineLevel="0" collapsed="false">
      <c r="A499" s="2"/>
      <c r="B499" s="2"/>
      <c r="C499" s="2"/>
      <c r="D499" s="2" t="str">
        <f aca="false">IF(C499="","",IFERROR(INDEX('动作库 Exercises'!$B:$B,MATCH(C499,'动作库 Exercises'!$A:$A,0)),"未找到ID"))</f>
        <v/>
      </c>
      <c r="E499" s="2"/>
      <c r="F499" s="2"/>
      <c r="G499" s="2"/>
      <c r="H499" s="2"/>
      <c r="I499" s="2"/>
    </row>
    <row r="500" customFormat="false" ht="15" hidden="false" customHeight="false" outlineLevel="0" collapsed="false">
      <c r="A500" s="2"/>
      <c r="B500" s="2"/>
      <c r="C500" s="2"/>
      <c r="D500" s="2" t="str">
        <f aca="false">IF(C500="","",IFERROR(INDEX('动作库 Exercises'!$B:$B,MATCH(C500,'动作库 Exercises'!$A:$A,0)),"未找到ID"))</f>
        <v/>
      </c>
      <c r="E500" s="2"/>
      <c r="F500" s="2"/>
      <c r="G500" s="2"/>
      <c r="H500" s="2"/>
      <c r="I500" s="2"/>
    </row>
    <row r="501" customFormat="false" ht="15" hidden="false" customHeight="false" outlineLevel="0" collapsed="false">
      <c r="A501" s="2"/>
      <c r="B501" s="2"/>
      <c r="C501" s="2"/>
      <c r="D501" s="2" t="str">
        <f aca="false">IF(C501="","",IFERROR(INDEX('动作库 Exercises'!$B:$B,MATCH(C501,'动作库 Exercises'!$A:$A,0)),"未找到ID"))</f>
        <v/>
      </c>
      <c r="E501" s="2"/>
      <c r="F501" s="2"/>
      <c r="G501" s="2"/>
      <c r="H501" s="2"/>
      <c r="I501" s="2"/>
    </row>
  </sheetData>
  <dataValidations count="1">
    <dataValidation allowBlank="true" errorStyle="stop" operator="between" showDropDown="false" showErrorMessage="false" showInputMessage="false" sqref="B2:B501" type="list">
      <formula1>"A周-健身房,B周-健身房,C周-健身房,居家"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60"/>
  </cols>
  <sheetData>
    <row r="1" customFormat="false" ht="30" hidden="false" customHeight="true" outlineLevel="0" collapsed="false">
      <c r="A1" s="6" t="s">
        <v>1303</v>
      </c>
      <c r="B1" s="6" t="s">
        <v>1304</v>
      </c>
      <c r="C1" s="6" t="s">
        <v>1305</v>
      </c>
    </row>
    <row r="2" customFormat="false" ht="15" hidden="false" customHeight="false" outlineLevel="0" collapsed="false">
      <c r="A2" s="30" t="s">
        <v>1306</v>
      </c>
      <c r="B2" s="30" t="s">
        <v>1307</v>
      </c>
      <c r="C2" s="30" t="s">
        <v>1308</v>
      </c>
    </row>
    <row r="3" customFormat="false" ht="15" hidden="false" customHeight="false" outlineLevel="0" collapsed="false">
      <c r="A3" s="30" t="s">
        <v>1309</v>
      </c>
      <c r="B3" s="30" t="s">
        <v>1310</v>
      </c>
      <c r="C3" s="30" t="s">
        <v>1311</v>
      </c>
    </row>
    <row r="4" customFormat="false" ht="15" hidden="false" customHeight="false" outlineLevel="0" collapsed="false">
      <c r="A4" s="30" t="s">
        <v>1312</v>
      </c>
      <c r="B4" s="31" t="s">
        <v>21</v>
      </c>
      <c r="C4" s="30" t="s">
        <v>1313</v>
      </c>
    </row>
    <row r="5" customFormat="false" ht="15" hidden="false" customHeight="false" outlineLevel="0" collapsed="false">
      <c r="A5" s="30" t="s">
        <v>1314</v>
      </c>
      <c r="B5" s="30" t="s">
        <v>1315</v>
      </c>
      <c r="C5" s="30" t="s">
        <v>1316</v>
      </c>
    </row>
    <row r="6" customFormat="false" ht="15" hidden="false" customHeight="false" outlineLevel="0" collapsed="false">
      <c r="A6" s="30" t="s">
        <v>418</v>
      </c>
      <c r="B6" s="31" t="s">
        <v>21</v>
      </c>
      <c r="C6" s="30" t="s">
        <v>1317</v>
      </c>
    </row>
    <row r="7" customFormat="false" ht="15" hidden="false" customHeight="false" outlineLevel="0" collapsed="false">
      <c r="A7" s="31" t="s">
        <v>1318</v>
      </c>
      <c r="B7" s="30" t="s">
        <v>1319</v>
      </c>
      <c r="C7" s="30" t="s">
        <v>1320</v>
      </c>
    </row>
    <row r="8" customFormat="false" ht="15" hidden="false" customHeight="false" outlineLevel="0" collapsed="false">
      <c r="A8" s="30" t="s">
        <v>1321</v>
      </c>
      <c r="B8" s="30" t="s">
        <v>1322</v>
      </c>
      <c r="C8" s="30" t="s">
        <v>1323</v>
      </c>
    </row>
    <row r="9" customFormat="false" ht="15" hidden="false" customHeight="false" outlineLevel="0" collapsed="false">
      <c r="A9" s="30" t="s">
        <v>650</v>
      </c>
      <c r="B9" s="31" t="s">
        <v>21</v>
      </c>
      <c r="C9" s="30" t="s">
        <v>648</v>
      </c>
    </row>
    <row r="10" customFormat="false" ht="15" hidden="false" customHeight="false" outlineLevel="0" collapsed="false">
      <c r="A10" s="30" t="s">
        <v>1324</v>
      </c>
      <c r="B10" s="31" t="s">
        <v>21</v>
      </c>
      <c r="C10" s="30" t="s">
        <v>1325</v>
      </c>
    </row>
    <row r="12" customFormat="false" ht="15" hidden="false" customHeight="false" outlineLevel="0" collapsed="false">
      <c r="A12" s="4" t="s">
        <v>1326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30"/>
  </cols>
  <sheetData>
    <row r="1" customFormat="false" ht="30" hidden="false" customHeight="true" outlineLevel="0" collapsed="false">
      <c r="A1" s="7" t="s">
        <v>1327</v>
      </c>
      <c r="B1" s="7" t="s">
        <v>1328</v>
      </c>
      <c r="C1" s="7" t="s">
        <v>1329</v>
      </c>
    </row>
    <row r="2" customFormat="false" ht="15" hidden="false" customHeight="false" outlineLevel="0" collapsed="false">
      <c r="A2" s="64" t="n">
        <v>1</v>
      </c>
      <c r="B2" s="64" t="s">
        <v>857</v>
      </c>
      <c r="C2" s="64" t="s">
        <v>858</v>
      </c>
    </row>
    <row r="3" customFormat="false" ht="15" hidden="false" customHeight="false" outlineLevel="0" collapsed="false">
      <c r="A3" s="64" t="n">
        <v>2</v>
      </c>
      <c r="B3" s="64" t="s">
        <v>862</v>
      </c>
      <c r="C3" s="64" t="s">
        <v>863</v>
      </c>
    </row>
    <row r="4" customFormat="false" ht="15" hidden="false" customHeight="false" outlineLevel="0" collapsed="false">
      <c r="A4" s="64" t="n">
        <v>3</v>
      </c>
      <c r="B4" s="64" t="s">
        <v>868</v>
      </c>
      <c r="C4" s="64" t="s">
        <v>869</v>
      </c>
    </row>
    <row r="5" customFormat="false" ht="15" hidden="false" customHeight="false" outlineLevel="0" collapsed="false">
      <c r="A5" s="64" t="n">
        <v>4</v>
      </c>
      <c r="B5" s="64" t="s">
        <v>876</v>
      </c>
      <c r="C5" s="64" t="s">
        <v>877</v>
      </c>
    </row>
    <row r="6" customFormat="false" ht="15" hidden="false" customHeight="false" outlineLevel="0" collapsed="false">
      <c r="A6" s="64" t="n">
        <v>5</v>
      </c>
      <c r="B6" s="64" t="s">
        <v>881</v>
      </c>
      <c r="C6" s="64" t="s">
        <v>863</v>
      </c>
    </row>
    <row r="7" customFormat="false" ht="15" hidden="false" customHeight="false" outlineLevel="0" collapsed="false">
      <c r="A7" s="64" t="n">
        <v>6</v>
      </c>
      <c r="B7" s="64" t="s">
        <v>885</v>
      </c>
      <c r="C7" s="64" t="s">
        <v>869</v>
      </c>
    </row>
    <row r="8" customFormat="false" ht="15" hidden="false" customHeight="false" outlineLevel="0" collapsed="false">
      <c r="A8" s="64" t="n">
        <v>7</v>
      </c>
      <c r="B8" s="64" t="s">
        <v>890</v>
      </c>
      <c r="C8" s="64" t="s">
        <v>891</v>
      </c>
    </row>
    <row r="9" customFormat="false" ht="15" hidden="false" customHeight="false" outlineLevel="0" collapsed="false">
      <c r="A9" s="64" t="n">
        <v>8</v>
      </c>
      <c r="B9" s="64" t="s">
        <v>895</v>
      </c>
      <c r="C9" s="64" t="s">
        <v>891</v>
      </c>
    </row>
    <row r="10" customFormat="false" ht="15" hidden="false" customHeight="false" outlineLevel="0" collapsed="false">
      <c r="A10" s="64" t="n">
        <v>9</v>
      </c>
      <c r="B10" s="64" t="s">
        <v>898</v>
      </c>
      <c r="C10" s="64" t="s">
        <v>863</v>
      </c>
    </row>
    <row r="11" customFormat="false" ht="15" hidden="false" customHeight="false" outlineLevel="0" collapsed="false">
      <c r="A11" s="64" t="n">
        <v>10</v>
      </c>
      <c r="B11" s="64" t="s">
        <v>901</v>
      </c>
      <c r="C11" s="64" t="s">
        <v>902</v>
      </c>
    </row>
    <row r="12" customFormat="false" ht="15" hidden="false" customHeight="false" outlineLevel="0" collapsed="false">
      <c r="A12" s="64" t="n">
        <v>11</v>
      </c>
      <c r="B12" s="64" t="s">
        <v>906</v>
      </c>
      <c r="C12" s="64" t="s">
        <v>907</v>
      </c>
    </row>
    <row r="13" customFormat="false" ht="15" hidden="false" customHeight="false" outlineLevel="0" collapsed="false">
      <c r="A13" s="64" t="n">
        <v>12</v>
      </c>
      <c r="B13" s="64" t="s">
        <v>911</v>
      </c>
      <c r="C13" s="64" t="s">
        <v>907</v>
      </c>
    </row>
    <row r="14" customFormat="false" ht="15" hidden="false" customHeight="false" outlineLevel="0" collapsed="false">
      <c r="A14" s="64" t="n">
        <v>13</v>
      </c>
      <c r="B14" s="64" t="s">
        <v>914</v>
      </c>
      <c r="C14" s="64" t="s">
        <v>877</v>
      </c>
    </row>
    <row r="15" customFormat="false" ht="15" hidden="false" customHeight="false" outlineLevel="0" collapsed="false">
      <c r="A15" s="64" t="n">
        <v>14</v>
      </c>
      <c r="B15" s="64" t="s">
        <v>918</v>
      </c>
      <c r="C15" s="64" t="s">
        <v>919</v>
      </c>
    </row>
    <row r="16" customFormat="false" ht="15" hidden="false" customHeight="false" outlineLevel="0" collapsed="false">
      <c r="A16" s="64" t="n">
        <v>15</v>
      </c>
      <c r="B16" s="64" t="s">
        <v>923</v>
      </c>
      <c r="C16" s="64" t="s">
        <v>858</v>
      </c>
    </row>
    <row r="17" customFormat="false" ht="15" hidden="false" customHeight="false" outlineLevel="0" collapsed="false">
      <c r="A17" s="64" t="n">
        <v>16</v>
      </c>
      <c r="B17" s="64" t="s">
        <v>927</v>
      </c>
      <c r="C17" s="64" t="s">
        <v>869</v>
      </c>
    </row>
    <row r="18" customFormat="false" ht="15" hidden="false" customHeight="false" outlineLevel="0" collapsed="false">
      <c r="A18" s="64" t="n">
        <v>17</v>
      </c>
      <c r="B18" s="64" t="s">
        <v>931</v>
      </c>
      <c r="C18" s="64" t="s">
        <v>932</v>
      </c>
    </row>
    <row r="19" customFormat="false" ht="15" hidden="false" customHeight="false" outlineLevel="0" collapsed="false">
      <c r="A19" s="64" t="n">
        <v>18</v>
      </c>
      <c r="B19" s="64" t="s">
        <v>937</v>
      </c>
      <c r="C19" s="64" t="s">
        <v>891</v>
      </c>
    </row>
    <row r="20" customFormat="false" ht="15" hidden="false" customHeight="false" outlineLevel="0" collapsed="false">
      <c r="A20" s="64" t="n">
        <v>19</v>
      </c>
      <c r="B20" s="64" t="s">
        <v>941</v>
      </c>
      <c r="C20" s="64" t="s">
        <v>942</v>
      </c>
    </row>
    <row r="21" customFormat="false" ht="15" hidden="false" customHeight="false" outlineLevel="0" collapsed="false">
      <c r="A21" s="64" t="n">
        <v>20</v>
      </c>
      <c r="B21" s="64" t="s">
        <v>948</v>
      </c>
      <c r="C21" s="64" t="s">
        <v>949</v>
      </c>
    </row>
    <row r="22" customFormat="false" ht="15" hidden="false" customHeight="false" outlineLevel="0" collapsed="false">
      <c r="A22" s="64" t="n">
        <v>21</v>
      </c>
      <c r="B22" s="64" t="s">
        <v>955</v>
      </c>
      <c r="C22" s="64" t="s">
        <v>956</v>
      </c>
    </row>
    <row r="23" customFormat="false" ht="15" hidden="false" customHeight="false" outlineLevel="0" collapsed="false">
      <c r="A23" s="64" t="n">
        <v>22</v>
      </c>
      <c r="B23" s="64" t="s">
        <v>961</v>
      </c>
      <c r="C23" s="64" t="s">
        <v>962</v>
      </c>
    </row>
    <row r="24" customFormat="false" ht="15" hidden="false" customHeight="false" outlineLevel="0" collapsed="false">
      <c r="A24" s="64" t="n">
        <v>23</v>
      </c>
      <c r="B24" s="64" t="s">
        <v>966</v>
      </c>
      <c r="C24" s="64" t="s">
        <v>869</v>
      </c>
    </row>
    <row r="25" customFormat="false" ht="15" hidden="false" customHeight="false" outlineLevel="0" collapsed="false">
      <c r="A25" s="64" t="n">
        <v>24</v>
      </c>
      <c r="B25" s="64" t="s">
        <v>970</v>
      </c>
      <c r="C25" s="64" t="s">
        <v>891</v>
      </c>
    </row>
    <row r="26" customFormat="false" ht="15" hidden="false" customHeight="false" outlineLevel="0" collapsed="false">
      <c r="A26" s="64" t="n">
        <v>25</v>
      </c>
      <c r="B26" s="64" t="s">
        <v>973</v>
      </c>
      <c r="C26" s="64" t="s">
        <v>974</v>
      </c>
    </row>
    <row r="27" customFormat="false" ht="15" hidden="false" customHeight="false" outlineLevel="0" collapsed="false">
      <c r="A27" s="64" t="n">
        <v>26</v>
      </c>
      <c r="B27" s="64" t="s">
        <v>977</v>
      </c>
      <c r="C27" s="64" t="s">
        <v>863</v>
      </c>
    </row>
    <row r="28" customFormat="false" ht="15" hidden="false" customHeight="false" outlineLevel="0" collapsed="false">
      <c r="A28" s="64" t="n">
        <v>27</v>
      </c>
      <c r="B28" s="64" t="s">
        <v>981</v>
      </c>
      <c r="C28" s="64" t="s">
        <v>982</v>
      </c>
    </row>
    <row r="29" customFormat="false" ht="15" hidden="false" customHeight="false" outlineLevel="0" collapsed="false">
      <c r="A29" s="64" t="n">
        <v>28</v>
      </c>
      <c r="B29" s="65" t="s">
        <v>986</v>
      </c>
      <c r="C29" s="64" t="s">
        <v>858</v>
      </c>
    </row>
    <row r="30" customFormat="false" ht="15" hidden="false" customHeight="false" outlineLevel="0" collapsed="false">
      <c r="A30" s="64" t="n">
        <v>29</v>
      </c>
      <c r="B30" s="65" t="s">
        <v>989</v>
      </c>
      <c r="C30" s="64" t="s">
        <v>949</v>
      </c>
    </row>
    <row r="31" customFormat="false" ht="15" hidden="false" customHeight="false" outlineLevel="0" collapsed="false">
      <c r="A31" s="64" t="n">
        <v>30</v>
      </c>
      <c r="B31" s="64" t="s">
        <v>992</v>
      </c>
      <c r="C31" s="64" t="s">
        <v>863</v>
      </c>
    </row>
    <row r="32" customFormat="false" ht="15" hidden="false" customHeight="false" outlineLevel="0" collapsed="false">
      <c r="A32" s="64" t="n">
        <v>31</v>
      </c>
      <c r="B32" s="64" t="s">
        <v>996</v>
      </c>
      <c r="C32" s="64" t="s">
        <v>949</v>
      </c>
    </row>
    <row r="33" customFormat="false" ht="29.85" hidden="false" customHeight="false" outlineLevel="0" collapsed="false">
      <c r="A33" s="64" t="n">
        <v>32</v>
      </c>
      <c r="B33" s="64" t="s">
        <v>1000</v>
      </c>
      <c r="C33" s="64" t="s">
        <v>863</v>
      </c>
    </row>
    <row r="34" customFormat="false" ht="15" hidden="false" customHeight="false" outlineLevel="0" collapsed="false">
      <c r="A34" s="64" t="n">
        <v>33</v>
      </c>
      <c r="B34" s="64" t="s">
        <v>1004</v>
      </c>
      <c r="C34" s="64" t="s">
        <v>863</v>
      </c>
    </row>
    <row r="35" customFormat="false" ht="15" hidden="false" customHeight="false" outlineLevel="0" collapsed="false">
      <c r="A35" s="64" t="n">
        <v>34</v>
      </c>
      <c r="B35" s="64" t="s">
        <v>1007</v>
      </c>
      <c r="C35" s="64" t="s">
        <v>863</v>
      </c>
    </row>
    <row r="36" customFormat="false" ht="15" hidden="false" customHeight="false" outlineLevel="0" collapsed="false">
      <c r="A36" s="64" t="n">
        <v>35</v>
      </c>
      <c r="B36" s="64" t="s">
        <v>1011</v>
      </c>
      <c r="C36" s="64" t="s">
        <v>949</v>
      </c>
    </row>
    <row r="37" customFormat="false" ht="15" hidden="false" customHeight="false" outlineLevel="0" collapsed="false">
      <c r="A37" s="64" t="n">
        <v>36</v>
      </c>
      <c r="B37" s="64" t="s">
        <v>1015</v>
      </c>
      <c r="C37" s="64" t="s">
        <v>858</v>
      </c>
    </row>
    <row r="38" customFormat="false" ht="15" hidden="false" customHeight="false" outlineLevel="0" collapsed="false">
      <c r="A38" s="64" t="n">
        <v>37</v>
      </c>
      <c r="B38" s="64" t="s">
        <v>1018</v>
      </c>
      <c r="C38" s="64" t="s">
        <v>902</v>
      </c>
    </row>
    <row r="39" customFormat="false" ht="15" hidden="false" customHeight="false" outlineLevel="0" collapsed="false">
      <c r="A39" s="64" t="n">
        <v>38</v>
      </c>
      <c r="B39" s="64" t="s">
        <v>1021</v>
      </c>
      <c r="C39" s="64" t="s">
        <v>858</v>
      </c>
    </row>
    <row r="40" customFormat="false" ht="15" hidden="false" customHeight="false" outlineLevel="0" collapsed="false">
      <c r="A40" s="64" t="n">
        <v>39</v>
      </c>
      <c r="B40" s="64" t="s">
        <v>1025</v>
      </c>
      <c r="C40" s="64" t="s">
        <v>942</v>
      </c>
    </row>
    <row r="41" customFormat="false" ht="15" hidden="false" customHeight="false" outlineLevel="0" collapsed="false">
      <c r="A41" s="64" t="n">
        <v>40</v>
      </c>
      <c r="B41" s="64" t="s">
        <v>1030</v>
      </c>
      <c r="C41" s="64" t="s">
        <v>869</v>
      </c>
    </row>
    <row r="42" customFormat="false" ht="15" hidden="false" customHeight="false" outlineLevel="0" collapsed="false">
      <c r="A42" s="64" t="n">
        <v>41</v>
      </c>
      <c r="B42" s="64" t="s">
        <v>1036</v>
      </c>
      <c r="C42" s="64" t="s">
        <v>982</v>
      </c>
    </row>
    <row r="43" customFormat="false" ht="15" hidden="false" customHeight="false" outlineLevel="0" collapsed="false">
      <c r="A43" s="64" t="n">
        <v>42</v>
      </c>
      <c r="B43" s="64" t="s">
        <v>1040</v>
      </c>
      <c r="C43" s="64" t="s">
        <v>956</v>
      </c>
    </row>
    <row r="44" customFormat="false" ht="15" hidden="false" customHeight="false" outlineLevel="0" collapsed="false">
      <c r="A44" s="64" t="n">
        <v>43</v>
      </c>
      <c r="B44" s="64" t="s">
        <v>1044</v>
      </c>
      <c r="C44" s="64" t="s">
        <v>877</v>
      </c>
    </row>
    <row r="45" customFormat="false" ht="15" hidden="false" customHeight="false" outlineLevel="0" collapsed="false">
      <c r="A45" s="64" t="n">
        <v>44</v>
      </c>
      <c r="B45" s="64" t="s">
        <v>1048</v>
      </c>
      <c r="C45" s="64" t="s">
        <v>863</v>
      </c>
    </row>
    <row r="46" customFormat="false" ht="15" hidden="false" customHeight="false" outlineLevel="0" collapsed="false">
      <c r="A46" s="64" t="n">
        <v>45</v>
      </c>
      <c r="B46" s="64" t="s">
        <v>1052</v>
      </c>
      <c r="C46" s="64" t="s">
        <v>863</v>
      </c>
    </row>
    <row r="47" customFormat="false" ht="15" hidden="false" customHeight="false" outlineLevel="0" collapsed="false">
      <c r="A47" s="64" t="n">
        <v>46</v>
      </c>
      <c r="B47" s="64" t="s">
        <v>1056</v>
      </c>
      <c r="C47" s="64" t="s">
        <v>877</v>
      </c>
    </row>
    <row r="48" customFormat="false" ht="15" hidden="false" customHeight="false" outlineLevel="0" collapsed="false">
      <c r="A48" s="64" t="n">
        <v>47</v>
      </c>
      <c r="B48" s="64" t="s">
        <v>1062</v>
      </c>
      <c r="C48" s="64" t="s">
        <v>982</v>
      </c>
    </row>
    <row r="49" customFormat="false" ht="15" hidden="false" customHeight="false" outlineLevel="0" collapsed="false">
      <c r="A49" s="64" t="n">
        <v>48</v>
      </c>
      <c r="B49" s="64" t="s">
        <v>1065</v>
      </c>
      <c r="C49" s="64" t="s">
        <v>956</v>
      </c>
    </row>
    <row r="50" customFormat="false" ht="15" hidden="false" customHeight="false" outlineLevel="0" collapsed="false">
      <c r="A50" s="64" t="n">
        <v>49</v>
      </c>
      <c r="B50" s="64" t="s">
        <v>1069</v>
      </c>
      <c r="C50" s="64" t="s">
        <v>869</v>
      </c>
    </row>
    <row r="51" customFormat="false" ht="15" hidden="false" customHeight="false" outlineLevel="0" collapsed="false">
      <c r="A51" s="64" t="n">
        <v>50</v>
      </c>
      <c r="B51" s="64" t="s">
        <v>1073</v>
      </c>
      <c r="C51" s="64" t="s">
        <v>863</v>
      </c>
    </row>
    <row r="52" customFormat="false" ht="15" hidden="false" customHeight="false" outlineLevel="0" collapsed="false">
      <c r="A52" s="64" t="n">
        <v>51</v>
      </c>
      <c r="B52" s="64" t="s">
        <v>1077</v>
      </c>
      <c r="C52" s="64" t="s">
        <v>891</v>
      </c>
    </row>
    <row r="53" customFormat="false" ht="15" hidden="false" customHeight="false" outlineLevel="0" collapsed="false">
      <c r="A53" s="64" t="n">
        <v>52</v>
      </c>
      <c r="B53" s="64" t="s">
        <v>1080</v>
      </c>
      <c r="C53" s="64" t="s">
        <v>877</v>
      </c>
    </row>
    <row r="54" customFormat="false" ht="15" hidden="false" customHeight="false" outlineLevel="0" collapsed="false">
      <c r="A54" s="64" t="n">
        <v>53</v>
      </c>
      <c r="B54" s="65" t="s">
        <v>1084</v>
      </c>
      <c r="C54" s="64" t="s">
        <v>932</v>
      </c>
    </row>
    <row r="55" customFormat="false" ht="15" hidden="false" customHeight="false" outlineLevel="0" collapsed="false">
      <c r="A55" s="64" t="n">
        <v>54</v>
      </c>
      <c r="B55" s="64" t="s">
        <v>1087</v>
      </c>
      <c r="C55" s="64" t="s">
        <v>982</v>
      </c>
    </row>
    <row r="56" customFormat="false" ht="15" hidden="false" customHeight="false" outlineLevel="0" collapsed="false">
      <c r="A56" s="64" t="n">
        <v>55</v>
      </c>
      <c r="B56" s="64" t="s">
        <v>1090</v>
      </c>
      <c r="C56" s="64" t="s">
        <v>863</v>
      </c>
    </row>
    <row r="57" customFormat="false" ht="15" hidden="false" customHeight="false" outlineLevel="0" collapsed="false">
      <c r="A57" s="64" t="n">
        <v>56</v>
      </c>
      <c r="B57" s="64" t="s">
        <v>1094</v>
      </c>
      <c r="C57" s="64" t="s">
        <v>863</v>
      </c>
    </row>
    <row r="58" customFormat="false" ht="15" hidden="false" customHeight="false" outlineLevel="0" collapsed="false">
      <c r="A58" s="64" t="n">
        <v>57</v>
      </c>
      <c r="B58" s="65" t="s">
        <v>1098</v>
      </c>
      <c r="C58" s="64" t="s">
        <v>877</v>
      </c>
    </row>
    <row r="59" customFormat="false" ht="15" hidden="false" customHeight="false" outlineLevel="0" collapsed="false">
      <c r="A59" s="64" t="n">
        <v>58</v>
      </c>
      <c r="B59" s="64" t="s">
        <v>1101</v>
      </c>
      <c r="C59" s="64" t="s">
        <v>974</v>
      </c>
    </row>
    <row r="60" customFormat="false" ht="15" hidden="false" customHeight="false" outlineLevel="0" collapsed="false">
      <c r="A60" s="64" t="n">
        <v>59</v>
      </c>
      <c r="B60" s="64" t="s">
        <v>1104</v>
      </c>
      <c r="C60" s="64" t="s">
        <v>891</v>
      </c>
    </row>
    <row r="61" customFormat="false" ht="15" hidden="false" customHeight="false" outlineLevel="0" collapsed="false">
      <c r="A61" s="64" t="n">
        <v>60</v>
      </c>
      <c r="B61" s="64" t="s">
        <v>1107</v>
      </c>
      <c r="C61" s="64" t="s">
        <v>869</v>
      </c>
    </row>
    <row r="62" customFormat="false" ht="15" hidden="false" customHeight="false" outlineLevel="0" collapsed="false">
      <c r="A62" s="64" t="n">
        <v>61</v>
      </c>
      <c r="B62" s="64" t="s">
        <v>1111</v>
      </c>
      <c r="C62" s="64" t="s">
        <v>869</v>
      </c>
    </row>
    <row r="63" customFormat="false" ht="15" hidden="false" customHeight="false" outlineLevel="0" collapsed="false">
      <c r="A63" s="64" t="n">
        <v>62</v>
      </c>
      <c r="B63" s="64" t="s">
        <v>1115</v>
      </c>
      <c r="C63" s="64" t="s">
        <v>982</v>
      </c>
    </row>
    <row r="64" customFormat="false" ht="15" hidden="false" customHeight="false" outlineLevel="0" collapsed="false">
      <c r="A64" s="64" t="n">
        <v>63</v>
      </c>
      <c r="B64" s="64" t="s">
        <v>1118</v>
      </c>
      <c r="C64" s="64" t="s">
        <v>863</v>
      </c>
    </row>
    <row r="65" customFormat="false" ht="15" hidden="false" customHeight="false" outlineLevel="0" collapsed="false">
      <c r="A65" s="64" t="n">
        <v>64</v>
      </c>
      <c r="B65" s="64" t="s">
        <v>1122</v>
      </c>
      <c r="C65" s="64" t="s">
        <v>877</v>
      </c>
    </row>
    <row r="66" customFormat="false" ht="15" hidden="false" customHeight="false" outlineLevel="0" collapsed="false">
      <c r="A66" s="64" t="n">
        <v>65</v>
      </c>
      <c r="B66" s="64" t="s">
        <v>1126</v>
      </c>
      <c r="C66" s="64" t="s">
        <v>863</v>
      </c>
    </row>
    <row r="67" customFormat="false" ht="15" hidden="false" customHeight="false" outlineLevel="0" collapsed="false">
      <c r="A67" s="64" t="n">
        <v>66</v>
      </c>
      <c r="B67" s="64" t="s">
        <v>1130</v>
      </c>
      <c r="C67" s="64" t="s">
        <v>869</v>
      </c>
    </row>
    <row r="68" customFormat="false" ht="15" hidden="false" customHeight="false" outlineLevel="0" collapsed="false">
      <c r="A68" s="64" t="n">
        <v>67</v>
      </c>
      <c r="B68" s="64" t="s">
        <v>1133</v>
      </c>
      <c r="C68" s="64" t="s">
        <v>942</v>
      </c>
    </row>
    <row r="69" customFormat="false" ht="15" hidden="false" customHeight="false" outlineLevel="0" collapsed="false">
      <c r="A69" s="64" t="n">
        <v>68</v>
      </c>
      <c r="B69" s="64" t="s">
        <v>1137</v>
      </c>
      <c r="C69" s="64" t="s">
        <v>863</v>
      </c>
    </row>
    <row r="70" customFormat="false" ht="15" hidden="false" customHeight="false" outlineLevel="0" collapsed="false">
      <c r="A70" s="64" t="n">
        <v>69</v>
      </c>
      <c r="B70" s="64" t="s">
        <v>1141</v>
      </c>
      <c r="C70" s="64" t="s">
        <v>902</v>
      </c>
    </row>
    <row r="71" customFormat="false" ht="15" hidden="false" customHeight="false" outlineLevel="0" collapsed="false">
      <c r="A71" s="64" t="n">
        <v>70</v>
      </c>
      <c r="B71" s="64" t="s">
        <v>1145</v>
      </c>
      <c r="C71" s="64" t="s">
        <v>907</v>
      </c>
    </row>
    <row r="72" customFormat="false" ht="15" hidden="false" customHeight="false" outlineLevel="0" collapsed="false">
      <c r="A72" s="64" t="n">
        <v>71</v>
      </c>
      <c r="B72" s="64" t="s">
        <v>1149</v>
      </c>
      <c r="C72" s="64" t="s">
        <v>1150</v>
      </c>
    </row>
    <row r="73" customFormat="false" ht="15" hidden="false" customHeight="false" outlineLevel="0" collapsed="false">
      <c r="A73" s="64" t="n">
        <v>72</v>
      </c>
      <c r="B73" s="64" t="s">
        <v>1156</v>
      </c>
      <c r="C73" s="64" t="s">
        <v>877</v>
      </c>
    </row>
    <row r="74" customFormat="false" ht="15" hidden="false" customHeight="false" outlineLevel="0" collapsed="false">
      <c r="A74" s="64" t="n">
        <v>73</v>
      </c>
      <c r="B74" s="64" t="s">
        <v>1159</v>
      </c>
      <c r="C74" s="64" t="s">
        <v>877</v>
      </c>
    </row>
    <row r="75" customFormat="false" ht="15" hidden="false" customHeight="false" outlineLevel="0" collapsed="false">
      <c r="A75" s="64" t="n">
        <v>74</v>
      </c>
      <c r="B75" s="64" t="s">
        <v>1163</v>
      </c>
      <c r="C75" s="64" t="s">
        <v>869</v>
      </c>
    </row>
    <row r="76" customFormat="false" ht="15" hidden="false" customHeight="false" outlineLevel="0" collapsed="false">
      <c r="A76" s="64" t="n">
        <v>75</v>
      </c>
      <c r="B76" s="65" t="s">
        <v>1166</v>
      </c>
      <c r="C76" s="64" t="s">
        <v>891</v>
      </c>
    </row>
    <row r="77" customFormat="false" ht="15" hidden="false" customHeight="false" outlineLevel="0" collapsed="false">
      <c r="A77" s="64" t="n">
        <v>76</v>
      </c>
      <c r="B77" s="65" t="s">
        <v>1169</v>
      </c>
      <c r="C77" s="64" t="s">
        <v>1170</v>
      </c>
    </row>
    <row r="78" customFormat="false" ht="15" hidden="false" customHeight="false" outlineLevel="0" collapsed="false">
      <c r="A78" s="64" t="n">
        <v>77</v>
      </c>
      <c r="B78" s="64" t="s">
        <v>1173</v>
      </c>
      <c r="C78" s="64" t="s">
        <v>877</v>
      </c>
    </row>
    <row r="79" customFormat="false" ht="15" hidden="false" customHeight="false" outlineLevel="0" collapsed="false">
      <c r="A79" s="64" t="n">
        <v>78</v>
      </c>
      <c r="B79" s="64" t="s">
        <v>1177</v>
      </c>
      <c r="C79" s="64" t="s">
        <v>877</v>
      </c>
    </row>
    <row r="80" customFormat="false" ht="15" hidden="false" customHeight="false" outlineLevel="0" collapsed="false">
      <c r="A80" s="64" t="n">
        <v>79</v>
      </c>
      <c r="B80" s="64" t="s">
        <v>1181</v>
      </c>
      <c r="C80" s="64" t="s">
        <v>877</v>
      </c>
    </row>
    <row r="81" customFormat="false" ht="29.85" hidden="false" customHeight="false" outlineLevel="0" collapsed="false">
      <c r="A81" s="64" t="n">
        <v>80</v>
      </c>
      <c r="B81" s="65" t="s">
        <v>1185</v>
      </c>
      <c r="C81" s="64" t="s">
        <v>949</v>
      </c>
    </row>
    <row r="82" customFormat="false" ht="15" hidden="false" customHeight="false" outlineLevel="0" collapsed="false">
      <c r="A82" s="64" t="n">
        <v>81</v>
      </c>
      <c r="B82" s="64" t="s">
        <v>1189</v>
      </c>
      <c r="C82" s="64" t="s">
        <v>949</v>
      </c>
    </row>
    <row r="83" customFormat="false" ht="35.05" hidden="false" customHeight="false" outlineLevel="0" collapsed="false">
      <c r="A83" s="64"/>
      <c r="B83" s="64" t="s">
        <v>1194</v>
      </c>
      <c r="C83" s="65" t="s">
        <v>26</v>
      </c>
    </row>
    <row r="84" customFormat="false" ht="68.65" hidden="false" customHeight="false" outlineLevel="0" collapsed="false">
      <c r="A84" s="64"/>
      <c r="B84" s="64" t="s">
        <v>1199</v>
      </c>
      <c r="C84" s="64" t="s">
        <v>1200</v>
      </c>
    </row>
    <row r="85" customFormat="false" ht="35.05" hidden="false" customHeight="false" outlineLevel="0" collapsed="false">
      <c r="A85" s="64"/>
      <c r="B85" s="64" t="s">
        <v>1207</v>
      </c>
      <c r="C85" s="64" t="s">
        <v>1208</v>
      </c>
    </row>
    <row r="86" customFormat="false" ht="46.25" hidden="false" customHeight="false" outlineLevel="0" collapsed="false">
      <c r="A86" s="64"/>
      <c r="B86" s="64" t="s">
        <v>1213</v>
      </c>
      <c r="C86" s="64" t="s">
        <v>1214</v>
      </c>
    </row>
    <row r="87" customFormat="false" ht="35.05" hidden="false" customHeight="false" outlineLevel="0" collapsed="false">
      <c r="A87" s="64"/>
      <c r="B87" s="64" t="s">
        <v>1219</v>
      </c>
      <c r="C87" s="64" t="s">
        <v>1220</v>
      </c>
    </row>
    <row r="88" customFormat="false" ht="15" hidden="false" customHeight="false" outlineLevel="0" collapsed="false">
      <c r="A88" s="64"/>
      <c r="B88" s="64" t="s">
        <v>1227</v>
      </c>
      <c r="C88" s="64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2026-10-23T15:06:26Z</dcterms:created>
  <dc:creator>openpyxl</dc:creator>
  <dc:description/>
  <dc:language>en-US</dc:language>
  <cp:lastModifiedBy/>
  <dcterms:modified xsi:type="dcterms:W3CDTF">2026-10-23T15:06:27Z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